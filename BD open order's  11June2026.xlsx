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ACF162A-D93D-C945-BD2F-CDABCF8137E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ABD RW Open PO's 11-6-2026 " sheetId="27" r:id="rId1"/>
    <sheet name="ABD RW SHIPPED 2026" sheetId="31" r:id="rId2"/>
    <sheet name="Abode 2026" sheetId="32" r:id="rId3"/>
  </sheets>
  <definedNames>
    <definedName name="_xlnm._FilterDatabase" localSheetId="0" hidden="1">'ABD RW Open PO''s 11-6-2026 '!$A$1:$H$112</definedName>
    <definedName name="_xlnm._FilterDatabase" localSheetId="1" hidden="1">'ABD RW SHIPPED 2026'!$B$1:$P$98</definedName>
    <definedName name="_xlnm.Print_Area" localSheetId="0">'ABD RW Open PO''s 11-6-2026 '!$A$1:$H$133</definedName>
    <definedName name="_xlnm.Print_Area" localSheetId="1">'ABD RW SHIPPED 2026'!$A$1:$R$102</definedName>
    <definedName name="_xlnm.Print_Titles" localSheetId="0">'ABD RW Open PO''s 11-6-2026 '!$1:$2</definedName>
    <definedName name="_xlnm.Print_Titles" localSheetId="1">'ABD RW SHIPPED 2026'!$1:$2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31" l="1"/>
  <c r="G3" i="27" l="1"/>
</calcChain>
</file>

<file path=xl/sharedStrings.xml><?xml version="1.0" encoding="utf-8"?>
<sst xmlns="http://schemas.openxmlformats.org/spreadsheetml/2006/main" count="866" uniqueCount="222">
  <si>
    <t>Factory</t>
  </si>
  <si>
    <t>PO #</t>
  </si>
  <si>
    <t>Qty (PCS)</t>
  </si>
  <si>
    <t>STYLE NAME</t>
  </si>
  <si>
    <t>AQ020-Ladies  SS CTN Polo</t>
  </si>
  <si>
    <t>Brand</t>
  </si>
  <si>
    <t>Ralawise-AQ</t>
  </si>
  <si>
    <t>Ralawise-TRIDRI</t>
  </si>
  <si>
    <t>EX-Fty</t>
  </si>
  <si>
    <t xml:space="preserve">UHM Ltd </t>
  </si>
  <si>
    <t>TR012-Mens Panelled Polo  (100% Polyester) (XS-2XL)</t>
  </si>
  <si>
    <t>TR012-Mens Panelled Polo  (100% Polyester) (3XL-5XL)</t>
  </si>
  <si>
    <t>AQ010-Mens SS CTN Polo (XS-2XL)</t>
  </si>
  <si>
    <t>TR011 Mens Panelled T-shirt (100% Polyester)</t>
  </si>
  <si>
    <t>AQ015-Mens SS TC Polo (XS-2xl)</t>
  </si>
  <si>
    <t>Knit Plus Ltd</t>
  </si>
  <si>
    <t>AQ011-Mens SS Tipped  Polo (XS-2XL)</t>
  </si>
  <si>
    <t>AQ010  Mens SS CTN Polo (3XL-6XL)</t>
  </si>
  <si>
    <t>AQ012 Mens SS Contrast  Polo (XS-2XL)</t>
  </si>
  <si>
    <t>AQ012 Mens SS Contrast  Polo (3XL-6XL)</t>
  </si>
  <si>
    <t>RalaTeam-AQ</t>
  </si>
  <si>
    <t>RalaTeam-TRIDRI</t>
  </si>
  <si>
    <t>AQ011-Mens SS Tipped  Polo (3XL-6XL)</t>
  </si>
  <si>
    <t>TR011 Mens Panelled T-shirt (100% Polyester) XS-2XL</t>
  </si>
  <si>
    <t>TR011 Mens Panelled T-shirt (100% Polyester) 3XL-6XL</t>
  </si>
  <si>
    <t>TR501-Mens T-shirt (solid) 100% recycled Polyester xs-2xl</t>
  </si>
  <si>
    <t>TR501-Mens T-shirt (solid) 100% recycled Polyester 2xl-6xl</t>
  </si>
  <si>
    <t>AQ015-Mens SS TC Polo (3xl-6xl)</t>
  </si>
  <si>
    <t xml:space="preserve">TR10B-Kids Tee ( 50 % Recycled / 50% Reg) Solid </t>
  </si>
  <si>
    <t xml:space="preserve">TR10B-Kids Tee ( 50 % Recycled / 50% Reg) Melange  </t>
  </si>
  <si>
    <t>TR110-Mens 1/4 Zip  (100% Polyester) SX-2XL</t>
  </si>
  <si>
    <t>TR110-Mens 1/4 Zip  (100% Polyester) 3XL-6XL</t>
  </si>
  <si>
    <t>TR501-Mens T-shirt (solid) 100% recycled Polyester 3xl-6xl</t>
  </si>
  <si>
    <t>Ralateam-TRIDRI</t>
  </si>
  <si>
    <t>TR012-Mens Panelled Polo  (100% Polyester) (3XL-6XL)</t>
  </si>
  <si>
    <t>TR050-Mens LS Tee</t>
  </si>
  <si>
    <t xml:space="preserve">TR060-Ladies LS Tee </t>
  </si>
  <si>
    <t xml:space="preserve">TR527-Ladies Vest (100% Recycled) </t>
  </si>
  <si>
    <t>TD-USA</t>
  </si>
  <si>
    <t xml:space="preserve">TD042 Ladies' Knot back Venus Tank ( 100% Recycled poly) </t>
  </si>
  <si>
    <t>TD304 Ladies' Mesh Pocket (88% recycled 12% Spandex )</t>
  </si>
  <si>
    <t>TR120-Ladies Performance T-shirt 1/4 Zip</t>
  </si>
  <si>
    <t xml:space="preserve">TR016-Mens Performace Base Layer </t>
  </si>
  <si>
    <t>AQ010-Mens SS CTN Polo (Cherry Red, Neon Yellow short)</t>
  </si>
  <si>
    <t>TR110-Mens 1/4 Zip  (100% Polyester) Short Qty</t>
  </si>
  <si>
    <t>Fty FOB</t>
  </si>
  <si>
    <t>Fty Total Value</t>
  </si>
  <si>
    <t>SL</t>
  </si>
  <si>
    <t>TR010-Mens Performance T Solid ( 50 % Recycled / 50% Reg) XS-2XL</t>
  </si>
  <si>
    <t>TR010-Mens Performance T  Solid( 50 % Recycled / 50% Reg) 3XL-5XL</t>
  </si>
  <si>
    <t xml:space="preserve">TR020 Womens T-shirt (solid) ( 50 % Recycled / 50% Reg) </t>
  </si>
  <si>
    <t>TR010-Mens Performance T Mel ( 50 % Recycled / 50% Reg) XS-2XL</t>
  </si>
  <si>
    <t>AQ010-Mens SS CTN Polo (XS-2XL) Relux Fit</t>
  </si>
  <si>
    <t>AQ010  Mens SS CTN Polo (3XL-6XL)  Relux Fit</t>
  </si>
  <si>
    <t>ABD-UHM-2026-003</t>
  </si>
  <si>
    <t>ABD-UHM-2026-002</t>
  </si>
  <si>
    <t>LFI20261225</t>
  </si>
  <si>
    <t>LIZ/ TEI TAK</t>
  </si>
  <si>
    <t>Green Life/TTF</t>
  </si>
  <si>
    <t>TR010-Mens Performance T  Solid( 50 % Recycled / 50% Reg) Short Qty</t>
  </si>
  <si>
    <t>KPL/ABODE-RALA/26/400</t>
  </si>
  <si>
    <t>KPL/ABODE-RALA/26/401</t>
  </si>
  <si>
    <t>Fty *NET* FOB</t>
  </si>
  <si>
    <t>GL-88/RL/03-26/113</t>
  </si>
  <si>
    <t>GL-53/RL/03-26/197</t>
  </si>
  <si>
    <t>AQ005-Mens Smooth Knit SS Polo (XS-2XL)</t>
  </si>
  <si>
    <t>AQ005-Mens Smooth Knit SS Polo (3XL-6XL)</t>
  </si>
  <si>
    <t xml:space="preserve">BL Number </t>
  </si>
  <si>
    <t>BL Date</t>
  </si>
  <si>
    <t>BDS26030088     ( CF Global )</t>
  </si>
  <si>
    <t>Ex-fty</t>
  </si>
  <si>
    <t>BDS26030089     ( CF Global )</t>
  </si>
  <si>
    <t>BDS26030245</t>
  </si>
  <si>
    <t>BDS26030245     ( CF Global )</t>
  </si>
  <si>
    <t>BDS26030021     ( CF Global )</t>
  </si>
  <si>
    <t>BDS26030084     ( CF Global )</t>
  </si>
  <si>
    <t>BDS26030086</t>
  </si>
  <si>
    <t xml:space="preserve">TR010-Mens Performance T  Solid( 50 % Recycled / 50% Reg) </t>
  </si>
  <si>
    <t>AQ010-Relaxed (XS-2XL)</t>
  </si>
  <si>
    <t>AQ010-Relaxed (3XL-6XL)</t>
  </si>
  <si>
    <t>AQ010-Classic ( Regular) (XS-2XL)</t>
  </si>
  <si>
    <t>AQ010-Classic ( Regular) (3XL-6XL)</t>
  </si>
  <si>
    <t>AQ011 ( Tipped Polo) (XS-2XL)</t>
  </si>
  <si>
    <t>AQ011 ( Tipped Polo) (3XL-6XL)</t>
  </si>
  <si>
    <t>AQ015(PC Polo) (XS-2XL)</t>
  </si>
  <si>
    <t>AQ015(PC Polo) (3XL-6XL)</t>
  </si>
  <si>
    <t>AQ001-Recycled Polyester Polo (XS-2XL)</t>
  </si>
  <si>
    <t>AQ001-Recycled Polyester Polo (3XL-6XL)</t>
  </si>
  <si>
    <t>220010132 </t>
  </si>
  <si>
    <r>
      <t xml:space="preserve">TR020 Womens T-shirt (solid) </t>
    </r>
    <r>
      <rPr>
        <sz val="14"/>
        <color rgb="FFFF0000"/>
        <rFont val="Calibri"/>
        <family val="2"/>
        <scheme val="minor"/>
      </rPr>
      <t xml:space="preserve">( 50 % Recycled / 50% Reg) </t>
    </r>
  </si>
  <si>
    <r>
      <t xml:space="preserve">TR010-Mens Performance T Solid ( </t>
    </r>
    <r>
      <rPr>
        <sz val="14"/>
        <color rgb="FFFF0000"/>
        <rFont val="Calibri"/>
        <family val="2"/>
        <scheme val="minor"/>
      </rPr>
      <t>50 % Recycled / 50% Reg</t>
    </r>
    <r>
      <rPr>
        <sz val="14"/>
        <color theme="1"/>
        <rFont val="Calibri"/>
        <family val="2"/>
        <scheme val="minor"/>
      </rPr>
      <t xml:space="preserve">) </t>
    </r>
    <r>
      <rPr>
        <sz val="14"/>
        <color rgb="FFFF0000"/>
        <rFont val="Calibri"/>
        <family val="2"/>
        <scheme val="minor"/>
      </rPr>
      <t>XS-2XL</t>
    </r>
  </si>
  <si>
    <r>
      <t>TR010-Mens Performance T  Solid(</t>
    </r>
    <r>
      <rPr>
        <sz val="14"/>
        <color rgb="FFFF0000"/>
        <rFont val="Calibri"/>
        <family val="2"/>
        <scheme val="minor"/>
      </rPr>
      <t xml:space="preserve"> 50 % Recycled / 50% Reg</t>
    </r>
    <r>
      <rPr>
        <sz val="14"/>
        <color theme="1"/>
        <rFont val="Calibri"/>
        <family val="2"/>
        <scheme val="minor"/>
      </rPr>
      <t xml:space="preserve">) </t>
    </r>
    <r>
      <rPr>
        <sz val="14"/>
        <color rgb="FFFF0000"/>
        <rFont val="Calibri"/>
        <family val="2"/>
        <scheme val="minor"/>
      </rPr>
      <t>3XL-5XL</t>
    </r>
  </si>
  <si>
    <r>
      <t xml:space="preserve">TR010-Mens Performance T Mel ( </t>
    </r>
    <r>
      <rPr>
        <sz val="14"/>
        <color rgb="FFFF0000"/>
        <rFont val="Calibri"/>
        <family val="2"/>
        <scheme val="minor"/>
      </rPr>
      <t>50 % Recycled / 50% Reg</t>
    </r>
    <r>
      <rPr>
        <sz val="14"/>
        <color theme="1"/>
        <rFont val="Calibri"/>
        <family val="2"/>
        <scheme val="minor"/>
      </rPr>
      <t xml:space="preserve">) </t>
    </r>
    <r>
      <rPr>
        <sz val="14"/>
        <color rgb="FFFF0000"/>
        <rFont val="Calibri"/>
        <family val="2"/>
        <scheme val="minor"/>
      </rPr>
      <t>XS-2XL</t>
    </r>
  </si>
  <si>
    <r>
      <t xml:space="preserve">TR020 Womens T-shirt (Mel) </t>
    </r>
    <r>
      <rPr>
        <sz val="14"/>
        <color rgb="FFFF0000"/>
        <rFont val="Calibri"/>
        <family val="2"/>
        <scheme val="minor"/>
      </rPr>
      <t xml:space="preserve">( 50 % Recycled / 50% Reg) </t>
    </r>
  </si>
  <si>
    <t>Telex BL Status</t>
  </si>
  <si>
    <t>AQ050-Mens Long Chino (XS-2XL)</t>
  </si>
  <si>
    <t>AQ050-Mens Long Chino (3XL-6XL)</t>
  </si>
  <si>
    <t>TR022-Ladies Polo TOP</t>
  </si>
  <si>
    <t xml:space="preserve">TR027-Ladies Vest </t>
  </si>
  <si>
    <t>TR050-Mens LS Tee (XS-2XL)</t>
  </si>
  <si>
    <t>TR050-Mens LS Tee (3XL-6XL)</t>
  </si>
  <si>
    <t>Premier-UK</t>
  </si>
  <si>
    <t>PR649</t>
  </si>
  <si>
    <t xml:space="preserve">Saturn </t>
  </si>
  <si>
    <t>AQ020- LADIES POLO</t>
  </si>
  <si>
    <t>AQ022-LADIES CONTRAST POLO SHIRT</t>
  </si>
  <si>
    <t>GL-88/RL/03-26/114</t>
  </si>
  <si>
    <t>GL-88/RL/04-26/307</t>
  </si>
  <si>
    <t>AQ012-Men's Contrast Polo XS-2XL</t>
  </si>
  <si>
    <t>AQ012-Men's Contrast Polo 3XL-6XL</t>
  </si>
  <si>
    <t>AQ001-Men's Recycle polyester Polo XS-2XL</t>
  </si>
  <si>
    <t>AQ001-Men's Recycle polyester Polo 3XL-6XL</t>
  </si>
  <si>
    <t>AQ015-Mens SS TC Polo (2XL-6XL)</t>
  </si>
  <si>
    <t>KPL/ABODE-RALA/26/613</t>
  </si>
  <si>
    <t>KPL/ABODE-RALA/26/614</t>
  </si>
  <si>
    <t>AQ025-Ladies SS TC Polo</t>
  </si>
  <si>
    <t xml:space="preserve">AQ030-Mens LS CTN Polo (XS-2XL) </t>
  </si>
  <si>
    <t>GL-03/RL/04-26/305</t>
  </si>
  <si>
    <t xml:space="preserve">AQ030-Mens LS CTN Polo (3XL-6XL) </t>
  </si>
  <si>
    <t>GL-03/RL/04-26/306</t>
  </si>
  <si>
    <t>TC</t>
  </si>
  <si>
    <t>Working</t>
  </si>
  <si>
    <t>NO TC</t>
  </si>
  <si>
    <t>Send 22.05.26</t>
  </si>
  <si>
    <t>ABD-UHM-2026-004</t>
  </si>
  <si>
    <t>ABD-UHM-2026-005</t>
  </si>
  <si>
    <t>LFI20262504</t>
  </si>
  <si>
    <t>BDS26050465</t>
  </si>
  <si>
    <t>BDS26040944</t>
  </si>
  <si>
    <t>BDS26040941</t>
  </si>
  <si>
    <t>BDS26040942</t>
  </si>
  <si>
    <t>BDS26040945</t>
  </si>
  <si>
    <t>BDA26050086</t>
  </si>
  <si>
    <t>BDS26050442</t>
  </si>
  <si>
    <t xml:space="preserve">LFI20262519 </t>
  </si>
  <si>
    <t>BDS26040991</t>
  </si>
  <si>
    <t>BDS26040994</t>
  </si>
  <si>
    <t>Rcvd</t>
  </si>
  <si>
    <t xml:space="preserve">Fty Payment </t>
  </si>
  <si>
    <t>TGBU8009669</t>
  </si>
  <si>
    <t>CONTAINER NO.</t>
  </si>
  <si>
    <t>TRHU6163730</t>
  </si>
  <si>
    <t>TGBU9701286</t>
  </si>
  <si>
    <t>Air</t>
  </si>
  <si>
    <t>MSDU8769603</t>
  </si>
  <si>
    <t>TCNU4665329</t>
  </si>
  <si>
    <t>BMOU6302930</t>
  </si>
  <si>
    <t>YMLU8985273</t>
  </si>
  <si>
    <t>SEGU5052731</t>
  </si>
  <si>
    <t>Total Carton</t>
  </si>
  <si>
    <t xml:space="preserve">Fty Invoice Number </t>
  </si>
  <si>
    <t xml:space="preserve">Fty Invoice Value </t>
  </si>
  <si>
    <t xml:space="preserve"> Fusion Polo ( Two Colour ) XS-2XL</t>
  </si>
  <si>
    <t xml:space="preserve"> Fusion Polo ( Two Colour ) 3XL-6XL</t>
  </si>
  <si>
    <t xml:space="preserve"> Fusion Polo ( Solid ) XS-2XL</t>
  </si>
  <si>
    <t xml:space="preserve"> Fusion Polo ( Solid) 3XL-6XL</t>
  </si>
  <si>
    <t>Anowara</t>
  </si>
  <si>
    <t>230011200 '230011196</t>
  </si>
  <si>
    <t>230011200 '230011197</t>
  </si>
  <si>
    <t>230011200 '230011198</t>
  </si>
  <si>
    <t>230011200 '230011199</t>
  </si>
  <si>
    <t>BDS26050317.</t>
  </si>
  <si>
    <t>MSNU1102162</t>
  </si>
  <si>
    <t>Folder</t>
  </si>
  <si>
    <t>FTY</t>
  </si>
  <si>
    <t xml:space="preserve">Brand </t>
  </si>
  <si>
    <t>Buyer PO Number</t>
  </si>
  <si>
    <t>Abode Inv Number</t>
  </si>
  <si>
    <t xml:space="preserve">Shipper Inv Number </t>
  </si>
  <si>
    <t>Carton</t>
  </si>
  <si>
    <t>Ship Qty</t>
  </si>
  <si>
    <t xml:space="preserve">Telex BL Status </t>
  </si>
  <si>
    <t>A474</t>
  </si>
  <si>
    <t xml:space="preserve">Knit Plus </t>
  </si>
  <si>
    <t>AQ-RW</t>
  </si>
  <si>
    <t>2020046-47</t>
  </si>
  <si>
    <t>KPL/ABODE-RALA/26/002</t>
  </si>
  <si>
    <t xml:space="preserve">BL Received </t>
  </si>
  <si>
    <t>A475</t>
  </si>
  <si>
    <t xml:space="preserve">Green Life/TTF </t>
  </si>
  <si>
    <t>206077,  206196</t>
  </si>
  <si>
    <t>GL/53/RL/10-26/970</t>
  </si>
  <si>
    <t>206077, 205230</t>
  </si>
  <si>
    <t>GL/43/RL/10-26/1036</t>
  </si>
  <si>
    <t>RW-HL</t>
  </si>
  <si>
    <t>GL/53/RL/10-26/1032</t>
  </si>
  <si>
    <t>A476</t>
  </si>
  <si>
    <t>UHM</t>
  </si>
  <si>
    <t>TR</t>
  </si>
  <si>
    <t>ASL-UHM-2026/001</t>
  </si>
  <si>
    <t>TC Got</t>
  </si>
  <si>
    <t>A477</t>
  </si>
  <si>
    <t>Liz</t>
  </si>
  <si>
    <t>LFI2026365</t>
  </si>
  <si>
    <t>LFI2026366</t>
  </si>
  <si>
    <t>A478</t>
  </si>
  <si>
    <t>Saturn</t>
  </si>
  <si>
    <t>AQ-Chinos</t>
  </si>
  <si>
    <t>206196,206196, 206077</t>
  </si>
  <si>
    <t>SWABD6400126</t>
  </si>
  <si>
    <t>A479</t>
  </si>
  <si>
    <t>2020059-60</t>
  </si>
  <si>
    <t>GL/69/RL/10-26/054A</t>
  </si>
  <si>
    <t>GL/69/RL/10-26/053</t>
  </si>
  <si>
    <t>Fty Value</t>
  </si>
  <si>
    <t>TC Will send 30/6</t>
  </si>
  <si>
    <t>Mens Organic Cotton Spandex Polo ( XS-2XL)</t>
  </si>
  <si>
    <t>Ladies Organic Cotton Spandex Polo ( XS-2XL)</t>
  </si>
  <si>
    <t>000739</t>
  </si>
  <si>
    <t>Short Qty, Will ship by end July 2026</t>
  </si>
  <si>
    <t>Short Qty, Will ship by Aug'26</t>
  </si>
  <si>
    <t xml:space="preserve">TR020 Womens T-shirt (Mel) ( 50 % Recycled / 50% Reg) </t>
  </si>
  <si>
    <t>TR020 Womens T-shirt (solid) ( 50 % Recycled / 50% Reg)  XS-2XL</t>
  </si>
  <si>
    <t>TR020 Womens T-shirt (solid) ( 50 % Recycled / 50% Reg) 3XL-6XL</t>
  </si>
  <si>
    <t xml:space="preserve">TR020 Womens T-shirt (solid) ( 50 % Recycled / 50% Reg)  XS-2XL Solid </t>
  </si>
  <si>
    <t>TR020 Womens T-shirt (solid) ( 50 % Recycled / 50% Reg)  XS-2XL Mel</t>
  </si>
  <si>
    <t xml:space="preserve">TR020 Womens T-shirt (solid) ( 50 % Recycled / 50% Reg)  2XL Solid </t>
  </si>
  <si>
    <t xml:space="preserve">TR020 Womens T-shirt (Mel) ( 50 % Recycled / 50% Reg)  2XL Melange </t>
  </si>
  <si>
    <t>TR010-Mens Performance T Mel ( 50 % Recycled / 50% Reg) 3XL-6XL</t>
  </si>
  <si>
    <t>TR501-Mens T-shirt (solid) 100% recycled Polyester XS-2XL</t>
  </si>
  <si>
    <t>TR020 Womens T-shirt (solid) ( 50 % Recycled / 50% Reg)  SX-2XL</t>
  </si>
  <si>
    <t>Approx 15/Nov/26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</si>
</sst>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&quot;$&quot;#,##0.00"/>
    <numFmt numFmtId="166" formatCode="_-* #,##0.00_-;\-* #,##0.00_-;_-* &quot;-&quot;??_-;_-@_-"/>
    <numFmt numFmtId="167" formatCode="[$$-409]#,##0.00"/>
    <numFmt numFmtId="168" formatCode="[$-809]dd\ mmmm\ yyyy;@"/>
    <numFmt numFmtId="169" formatCode="d/m/yy;@"/>
    <numFmt numFmtId="170" formatCode="0.000"/>
    <numFmt numFmtId="171" formatCode="[$$-409]#,##0.00_);\([$$-409]#,##0.00\)"/>
    <numFmt numFmtId="172" formatCode="dd/mm/yy;@"/>
    <numFmt numFmtId="173" formatCode="[$-409]d\-mmm\-yy;@"/>
    <numFmt numFmtId="174" formatCode="[$-809]d\ mmmm\ yyyy;@"/>
  </numFmts>
  <fonts count="5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  <font>
      <b/>
      <sz val="14"/>
      <name val="Calibri (Body)"/>
    </font>
    <font>
      <sz val="14"/>
      <color theme="1"/>
      <name val="Calibri (Body)"/>
    </font>
    <font>
      <sz val="14"/>
      <name val="Calibri (Body)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5">
    <xf numFmtId="0" fontId="0" fillId="0" borderId="0"/>
    <xf numFmtId="0" fontId="4" fillId="0" borderId="0">
      <alignment vertical="center"/>
    </xf>
    <xf numFmtId="0" fontId="6" fillId="0" borderId="0">
      <alignment vertical="center"/>
    </xf>
    <xf numFmtId="0" fontId="7" fillId="0" borderId="0">
      <alignment horizontal="left" vertical="top"/>
    </xf>
    <xf numFmtId="0" fontId="8" fillId="0" borderId="0">
      <alignment horizontal="justify" vertical="center"/>
    </xf>
    <xf numFmtId="0" fontId="8" fillId="0" borderId="0">
      <alignment horizontal="center" vertical="center"/>
    </xf>
    <xf numFmtId="0" fontId="9" fillId="0" borderId="0">
      <alignment horizontal="center" vertical="center"/>
    </xf>
    <xf numFmtId="0" fontId="9" fillId="0" borderId="0">
      <alignment horizontal="center" vertical="center"/>
    </xf>
    <xf numFmtId="0" fontId="9" fillId="0" borderId="0">
      <alignment horizontal="center" vertical="center"/>
    </xf>
    <xf numFmtId="0" fontId="9" fillId="0" borderId="0">
      <alignment horizontal="center"/>
    </xf>
    <xf numFmtId="0" fontId="9" fillId="0" borderId="0">
      <alignment horizontal="center" vertical="center"/>
    </xf>
    <xf numFmtId="0" fontId="9" fillId="0" borderId="0">
      <alignment horizontal="center"/>
    </xf>
    <xf numFmtId="0" fontId="9" fillId="0" borderId="0">
      <alignment horizontal="center" vertical="center"/>
    </xf>
    <xf numFmtId="0" fontId="9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left" vertical="center"/>
    </xf>
    <xf numFmtId="0" fontId="8" fillId="0" borderId="0">
      <alignment horizontal="left" vertical="center"/>
    </xf>
    <xf numFmtId="0" fontId="8" fillId="3" borderId="0">
      <alignment horizontal="left" vertical="center"/>
    </xf>
    <xf numFmtId="0" fontId="8" fillId="3" borderId="0">
      <alignment horizontal="left" vertical="center"/>
    </xf>
    <xf numFmtId="0" fontId="10" fillId="0" borderId="0">
      <alignment horizontal="left" vertical="center"/>
    </xf>
    <xf numFmtId="0" fontId="8" fillId="0" borderId="0">
      <alignment horizontal="lef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5" fillId="0" borderId="0"/>
    <xf numFmtId="0" fontId="3" fillId="0" borderId="0">
      <alignment vertical="center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0" borderId="0"/>
    <xf numFmtId="0" fontId="5" fillId="0" borderId="0" applyAlignment="0"/>
    <xf numFmtId="0" fontId="11" fillId="0" borderId="0"/>
    <xf numFmtId="0" fontId="5" fillId="0" borderId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21" borderId="0" applyNumberFormat="0" applyBorder="0" applyAlignment="0" applyProtection="0"/>
    <xf numFmtId="0" fontId="14" fillId="5" borderId="0" applyNumberFormat="0" applyBorder="0" applyAlignment="0" applyProtection="0"/>
    <xf numFmtId="0" fontId="15" fillId="22" borderId="2" applyNumberFormat="0" applyAlignment="0" applyProtection="0"/>
    <xf numFmtId="0" fontId="16" fillId="23" borderId="3" applyNumberFormat="0" applyAlignment="0" applyProtection="0"/>
    <xf numFmtId="43" fontId="5" fillId="0" borderId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9" borderId="2" applyNumberFormat="0" applyAlignment="0" applyProtection="0"/>
    <xf numFmtId="0" fontId="23" fillId="0" borderId="7" applyNumberFormat="0" applyFill="0" applyAlignment="0" applyProtection="0"/>
    <xf numFmtId="0" fontId="24" fillId="24" borderId="0" applyNumberFormat="0" applyBorder="0" applyAlignment="0" applyProtection="0"/>
    <xf numFmtId="0" fontId="29" fillId="0" borderId="0"/>
    <xf numFmtId="0" fontId="5" fillId="0" borderId="0"/>
    <xf numFmtId="0" fontId="1" fillId="0" borderId="0"/>
    <xf numFmtId="0" fontId="5" fillId="25" borderId="8" applyNumberFormat="0" applyFont="0" applyAlignment="0" applyProtection="0"/>
    <xf numFmtId="0" fontId="25" fillId="22" borderId="9" applyNumberFormat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0" borderId="0" applyNumberFormat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30" fillId="0" borderId="0">
      <alignment vertical="center"/>
    </xf>
  </cellStyleXfs>
  <cellXfs count="263">
    <xf numFmtId="0" fontId="0" fillId="0" borderId="0" xfId="0"/>
    <xf numFmtId="0" fontId="32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31" fillId="26" borderId="0" xfId="0" applyFont="1" applyFill="1" applyAlignment="1">
      <alignment horizontal="center"/>
    </xf>
    <xf numFmtId="0" fontId="31" fillId="27" borderId="0" xfId="0" applyFont="1" applyFill="1" applyAlignment="1">
      <alignment horizontal="center"/>
    </xf>
    <xf numFmtId="0" fontId="33" fillId="26" borderId="0" xfId="0" applyFont="1" applyFill="1" applyAlignment="1">
      <alignment horizontal="center"/>
    </xf>
    <xf numFmtId="0" fontId="37" fillId="27" borderId="0" xfId="0" applyFont="1" applyFill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65" fontId="31" fillId="2" borderId="0" xfId="0" applyNumberFormat="1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67" fontId="31" fillId="2" borderId="1" xfId="0" applyNumberFormat="1" applyFont="1" applyFill="1" applyBorder="1" applyAlignment="1">
      <alignment horizontal="center" vertical="center"/>
    </xf>
    <xf numFmtId="165" fontId="31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/>
    </xf>
    <xf numFmtId="167" fontId="33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167" fontId="31" fillId="2" borderId="1" xfId="0" applyNumberFormat="1" applyFont="1" applyFill="1" applyBorder="1" applyAlignment="1">
      <alignment horizontal="center"/>
    </xf>
    <xf numFmtId="167" fontId="39" fillId="2" borderId="1" xfId="0" applyNumberFormat="1" applyFont="1" applyFill="1" applyBorder="1" applyAlignment="1">
      <alignment horizontal="center" vertical="top"/>
    </xf>
    <xf numFmtId="167" fontId="33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1" fillId="27" borderId="1" xfId="0" applyFont="1" applyFill="1" applyBorder="1" applyAlignment="1">
      <alignment horizontal="center" vertical="center" wrapText="1"/>
    </xf>
    <xf numFmtId="0" fontId="33" fillId="27" borderId="1" xfId="0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center" vertical="center"/>
    </xf>
    <xf numFmtId="167" fontId="31" fillId="27" borderId="1" xfId="0" applyNumberFormat="1" applyFont="1" applyFill="1" applyBorder="1" applyAlignment="1">
      <alignment horizontal="center"/>
    </xf>
    <xf numFmtId="165" fontId="31" fillId="27" borderId="1" xfId="0" applyNumberFormat="1" applyFont="1" applyFill="1" applyBorder="1" applyAlignment="1">
      <alignment horizontal="center" vertical="center"/>
    </xf>
    <xf numFmtId="167" fontId="39" fillId="27" borderId="1" xfId="0" applyNumberFormat="1" applyFont="1" applyFill="1" applyBorder="1" applyAlignment="1">
      <alignment horizontal="center" vertical="top"/>
    </xf>
    <xf numFmtId="0" fontId="33" fillId="27" borderId="1" xfId="0" applyFont="1" applyFill="1" applyBorder="1" applyAlignment="1">
      <alignment horizontal="center" vertical="center"/>
    </xf>
    <xf numFmtId="167" fontId="33" fillId="27" borderId="1" xfId="0" applyNumberFormat="1" applyFont="1" applyFill="1" applyBorder="1" applyAlignment="1">
      <alignment horizontal="center" vertical="center"/>
    </xf>
    <xf numFmtId="0" fontId="39" fillId="27" borderId="1" xfId="0" applyFont="1" applyFill="1" applyBorder="1" applyAlignment="1">
      <alignment horizontal="center" vertical="center"/>
    </xf>
    <xf numFmtId="1" fontId="31" fillId="27" borderId="1" xfId="0" applyNumberFormat="1" applyFont="1" applyFill="1" applyBorder="1" applyAlignment="1">
      <alignment horizontal="center" vertical="center"/>
    </xf>
    <xf numFmtId="0" fontId="35" fillId="27" borderId="0" xfId="0" applyFont="1" applyFill="1" applyAlignment="1">
      <alignment horizontal="center" vertical="center" wrapText="1"/>
    </xf>
    <xf numFmtId="0" fontId="35" fillId="27" borderId="0" xfId="0" applyFont="1" applyFill="1" applyAlignment="1">
      <alignment horizontal="center" vertical="center"/>
    </xf>
    <xf numFmtId="167" fontId="31" fillId="27" borderId="1" xfId="0" applyNumberFormat="1" applyFont="1" applyFill="1" applyBorder="1" applyAlignment="1">
      <alignment horizontal="center" vertical="center"/>
    </xf>
    <xf numFmtId="167" fontId="32" fillId="27" borderId="11" xfId="0" applyNumberFormat="1" applyFont="1" applyFill="1" applyBorder="1" applyAlignment="1">
      <alignment horizontal="center" vertical="center"/>
    </xf>
    <xf numFmtId="165" fontId="33" fillId="27" borderId="11" xfId="0" applyNumberFormat="1" applyFont="1" applyFill="1" applyBorder="1" applyAlignment="1">
      <alignment horizontal="center" vertical="center"/>
    </xf>
    <xf numFmtId="169" fontId="31" fillId="27" borderId="11" xfId="0" applyNumberFormat="1" applyFont="1" applyFill="1" applyBorder="1" applyAlignment="1">
      <alignment horizontal="center" vertical="center"/>
    </xf>
    <xf numFmtId="165" fontId="31" fillId="27" borderId="11" xfId="0" applyNumberFormat="1" applyFont="1" applyFill="1" applyBorder="1" applyAlignment="1">
      <alignment horizontal="center" vertical="center"/>
    </xf>
    <xf numFmtId="169" fontId="31" fillId="27" borderId="1" xfId="0" applyNumberFormat="1" applyFont="1" applyFill="1" applyBorder="1" applyAlignment="1">
      <alignment horizontal="center" vertical="center" wrapText="1"/>
    </xf>
    <xf numFmtId="0" fontId="33" fillId="27" borderId="1" xfId="0" applyFont="1" applyFill="1" applyBorder="1" applyAlignment="1">
      <alignment vertical="center"/>
    </xf>
    <xf numFmtId="0" fontId="33" fillId="27" borderId="1" xfId="0" applyFont="1" applyFill="1" applyBorder="1" applyAlignment="1">
      <alignment horizontal="center"/>
    </xf>
    <xf numFmtId="167" fontId="32" fillId="27" borderId="1" xfId="0" applyNumberFormat="1" applyFont="1" applyFill="1" applyBorder="1" applyAlignment="1">
      <alignment horizontal="center" vertical="center"/>
    </xf>
    <xf numFmtId="169" fontId="31" fillId="27" borderId="1" xfId="0" applyNumberFormat="1" applyFont="1" applyFill="1" applyBorder="1" applyAlignment="1">
      <alignment horizontal="center" vertical="center"/>
    </xf>
    <xf numFmtId="165" fontId="33" fillId="27" borderId="1" xfId="0" applyNumberFormat="1" applyFont="1" applyFill="1" applyBorder="1" applyAlignment="1">
      <alignment horizontal="center" vertical="center"/>
    </xf>
    <xf numFmtId="0" fontId="0" fillId="27" borderId="0" xfId="0" applyFill="1"/>
    <xf numFmtId="0" fontId="37" fillId="27" borderId="0" xfId="0" applyFont="1" applyFill="1" applyAlignment="1">
      <alignment horizontal="center" vertical="center" wrapText="1"/>
    </xf>
    <xf numFmtId="0" fontId="37" fillId="27" borderId="0" xfId="0" applyFont="1" applyFill="1" applyAlignment="1">
      <alignment horizontal="center" vertical="center"/>
    </xf>
    <xf numFmtId="0" fontId="36" fillId="27" borderId="0" xfId="0" applyFont="1" applyFill="1" applyAlignment="1">
      <alignment vertical="center"/>
    </xf>
    <xf numFmtId="0" fontId="36" fillId="27" borderId="0" xfId="0" applyFont="1" applyFill="1" applyAlignment="1">
      <alignment horizontal="center" vertical="center"/>
    </xf>
    <xf numFmtId="1" fontId="33" fillId="2" borderId="1" xfId="0" applyNumberFormat="1" applyFont="1" applyFill="1" applyBorder="1" applyAlignment="1">
      <alignment horizontal="center" vertical="center"/>
    </xf>
    <xf numFmtId="165" fontId="33" fillId="2" borderId="1" xfId="0" applyNumberFormat="1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vertical="center"/>
    </xf>
    <xf numFmtId="165" fontId="33" fillId="27" borderId="17" xfId="0" applyNumberFormat="1" applyFont="1" applyFill="1" applyBorder="1" applyAlignment="1">
      <alignment horizontal="center" vertical="center"/>
    </xf>
    <xf numFmtId="165" fontId="33" fillId="27" borderId="19" xfId="0" applyNumberFormat="1" applyFont="1" applyFill="1" applyBorder="1" applyAlignment="1">
      <alignment horizontal="center" vertical="center"/>
    </xf>
    <xf numFmtId="0" fontId="37" fillId="27" borderId="1" xfId="0" applyFont="1" applyFill="1" applyBorder="1" applyAlignment="1">
      <alignment horizontal="center"/>
    </xf>
    <xf numFmtId="165" fontId="37" fillId="27" borderId="0" xfId="0" applyNumberFormat="1" applyFont="1" applyFill="1" applyAlignment="1">
      <alignment horizontal="center" vertical="center"/>
    </xf>
    <xf numFmtId="1" fontId="37" fillId="27" borderId="0" xfId="0" applyNumberFormat="1" applyFont="1" applyFill="1" applyAlignment="1">
      <alignment horizontal="center" vertical="center"/>
    </xf>
    <xf numFmtId="167" fontId="37" fillId="27" borderId="0" xfId="0" applyNumberFormat="1" applyFont="1" applyFill="1" applyAlignment="1">
      <alignment horizontal="center" vertical="center"/>
    </xf>
    <xf numFmtId="3" fontId="31" fillId="27" borderId="11" xfId="0" applyNumberFormat="1" applyFont="1" applyFill="1" applyBorder="1" applyAlignment="1">
      <alignment horizontal="center" vertical="center"/>
    </xf>
    <xf numFmtId="3" fontId="31" fillId="27" borderId="13" xfId="0" applyNumberFormat="1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5" fillId="2" borderId="0" xfId="0" applyFont="1" applyFill="1" applyAlignment="1">
      <alignment horizontal="left"/>
    </xf>
    <xf numFmtId="0" fontId="43" fillId="28" borderId="1" xfId="0" applyFont="1" applyFill="1" applyBorder="1" applyAlignment="1">
      <alignment horizontal="left"/>
    </xf>
    <xf numFmtId="0" fontId="46" fillId="2" borderId="0" xfId="0" applyFont="1" applyFill="1" applyAlignment="1">
      <alignment horizontal="center"/>
    </xf>
    <xf numFmtId="0" fontId="46" fillId="2" borderId="1" xfId="0" applyFont="1" applyFill="1" applyBorder="1" applyAlignment="1">
      <alignment horizontal="left" vertical="center"/>
    </xf>
    <xf numFmtId="0" fontId="47" fillId="2" borderId="1" xfId="0" applyFont="1" applyFill="1" applyBorder="1" applyAlignment="1">
      <alignment horizontal="left" vertical="center" wrapText="1"/>
    </xf>
    <xf numFmtId="0" fontId="48" fillId="2" borderId="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 vertical="center"/>
    </xf>
    <xf numFmtId="0" fontId="49" fillId="2" borderId="1" xfId="0" applyFont="1" applyFill="1" applyBorder="1" applyAlignment="1">
      <alignment horizontal="left" vertical="center" wrapText="1"/>
    </xf>
    <xf numFmtId="0" fontId="50" fillId="2" borderId="1" xfId="0" applyFont="1" applyFill="1" applyBorder="1" applyAlignment="1">
      <alignment horizontal="left" vertical="center"/>
    </xf>
    <xf numFmtId="3" fontId="43" fillId="2" borderId="1" xfId="0" applyNumberFormat="1" applyFont="1" applyFill="1" applyBorder="1" applyAlignment="1">
      <alignment horizontal="left"/>
    </xf>
    <xf numFmtId="165" fontId="43" fillId="2" borderId="1" xfId="0" applyNumberFormat="1" applyFont="1" applyFill="1" applyBorder="1" applyAlignment="1">
      <alignment horizontal="left"/>
    </xf>
    <xf numFmtId="173" fontId="43" fillId="2" borderId="1" xfId="0" applyNumberFormat="1" applyFont="1" applyFill="1" applyBorder="1" applyAlignment="1">
      <alignment horizontal="left" vertical="center"/>
    </xf>
    <xf numFmtId="3" fontId="49" fillId="2" borderId="1" xfId="0" applyNumberFormat="1" applyFont="1" applyFill="1" applyBorder="1" applyAlignment="1">
      <alignment horizontal="left" vertical="center" wrapText="1"/>
    </xf>
    <xf numFmtId="0" fontId="47" fillId="2" borderId="1" xfId="0" applyFont="1" applyFill="1" applyBorder="1" applyAlignment="1">
      <alignment horizontal="left"/>
    </xf>
    <xf numFmtId="0" fontId="51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 vertical="center" wrapText="1"/>
    </xf>
    <xf numFmtId="3" fontId="51" fillId="2" borderId="0" xfId="0" applyNumberFormat="1" applyFont="1" applyFill="1" applyAlignment="1">
      <alignment horizontal="center"/>
    </xf>
    <xf numFmtId="165" fontId="51" fillId="2" borderId="0" xfId="0" applyNumberFormat="1" applyFont="1" applyFill="1" applyAlignment="1">
      <alignment horizontal="center"/>
    </xf>
    <xf numFmtId="0" fontId="52" fillId="2" borderId="0" xfId="0" applyFont="1" applyFill="1" applyAlignment="1">
      <alignment horizontal="left"/>
    </xf>
    <xf numFmtId="0" fontId="31" fillId="2" borderId="1" xfId="0" applyFont="1" applyFill="1" applyBorder="1" applyAlignment="1">
      <alignment horizontal="left" vertical="center"/>
    </xf>
    <xf numFmtId="0" fontId="39" fillId="2" borderId="1" xfId="0" applyFont="1" applyFill="1" applyBorder="1" applyAlignment="1">
      <alignment horizontal="left"/>
    </xf>
    <xf numFmtId="0" fontId="31" fillId="2" borderId="0" xfId="0" applyFont="1" applyFill="1" applyAlignment="1">
      <alignment horizontal="left" vertical="center"/>
    </xf>
    <xf numFmtId="0" fontId="33" fillId="30" borderId="1" xfId="0" applyFont="1" applyFill="1" applyBorder="1" applyAlignment="1">
      <alignment horizontal="center" vertical="center" wrapText="1"/>
    </xf>
    <xf numFmtId="0" fontId="33" fillId="30" borderId="1" xfId="0" applyFont="1" applyFill="1" applyBorder="1" applyAlignment="1">
      <alignment horizontal="left" vertical="center"/>
    </xf>
    <xf numFmtId="1" fontId="33" fillId="30" borderId="1" xfId="0" applyNumberFormat="1" applyFont="1" applyFill="1" applyBorder="1" applyAlignment="1">
      <alignment horizontal="center" vertical="center"/>
    </xf>
    <xf numFmtId="167" fontId="33" fillId="30" borderId="1" xfId="0" applyNumberFormat="1" applyFont="1" applyFill="1" applyBorder="1" applyAlignment="1">
      <alignment horizontal="center" vertical="center"/>
    </xf>
    <xf numFmtId="165" fontId="33" fillId="30" borderId="1" xfId="0" applyNumberFormat="1" applyFont="1" applyFill="1" applyBorder="1" applyAlignment="1">
      <alignment horizontal="center" vertical="center"/>
    </xf>
    <xf numFmtId="0" fontId="33" fillId="30" borderId="1" xfId="0" applyFont="1" applyFill="1" applyBorder="1" applyAlignment="1">
      <alignment vertical="center"/>
    </xf>
    <xf numFmtId="0" fontId="33" fillId="30" borderId="1" xfId="0" applyFont="1" applyFill="1" applyBorder="1" applyAlignment="1">
      <alignment horizontal="center" vertical="center"/>
    </xf>
    <xf numFmtId="167" fontId="33" fillId="30" borderId="1" xfId="0" applyNumberFormat="1" applyFont="1" applyFill="1" applyBorder="1" applyAlignment="1">
      <alignment horizontal="center"/>
    </xf>
    <xf numFmtId="0" fontId="31" fillId="30" borderId="1" xfId="0" applyFont="1" applyFill="1" applyBorder="1" applyAlignment="1">
      <alignment horizontal="center" vertical="center" wrapText="1"/>
    </xf>
    <xf numFmtId="165" fontId="31" fillId="30" borderId="1" xfId="0" applyNumberFormat="1" applyFont="1" applyFill="1" applyBorder="1" applyAlignment="1">
      <alignment horizontal="center" vertical="center"/>
    </xf>
    <xf numFmtId="1" fontId="31" fillId="30" borderId="1" xfId="0" applyNumberFormat="1" applyFont="1" applyFill="1" applyBorder="1" applyAlignment="1">
      <alignment horizontal="center" vertical="center"/>
    </xf>
    <xf numFmtId="167" fontId="31" fillId="30" borderId="1" xfId="0" applyNumberFormat="1" applyFont="1" applyFill="1" applyBorder="1" applyAlignment="1">
      <alignment horizontal="center"/>
    </xf>
    <xf numFmtId="0" fontId="31" fillId="30" borderId="1" xfId="0" applyFont="1" applyFill="1" applyBorder="1" applyAlignment="1">
      <alignment horizontal="left" vertical="center"/>
    </xf>
    <xf numFmtId="167" fontId="31" fillId="30" borderId="1" xfId="0" applyNumberFormat="1" applyFont="1" applyFill="1" applyBorder="1" applyAlignment="1">
      <alignment horizontal="center" vertical="center"/>
    </xf>
    <xf numFmtId="0" fontId="33" fillId="30" borderId="1" xfId="0" quotePrefix="1" applyFont="1" applyFill="1" applyBorder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33" fillId="2" borderId="1" xfId="0" applyFont="1" applyFill="1" applyBorder="1" applyAlignment="1">
      <alignment vertical="center" wrapText="1"/>
    </xf>
    <xf numFmtId="0" fontId="33" fillId="30" borderId="1" xfId="0" applyFont="1" applyFill="1" applyBorder="1" applyAlignment="1">
      <alignment vertical="center" wrapText="1"/>
    </xf>
    <xf numFmtId="0" fontId="33" fillId="2" borderId="1" xfId="0" applyFont="1" applyFill="1" applyBorder="1"/>
    <xf numFmtId="168" fontId="31" fillId="2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3" fillId="26" borderId="1" xfId="0" applyFont="1" applyFill="1" applyBorder="1" applyAlignment="1">
      <alignment horizontal="center" vertical="center" wrapText="1"/>
    </xf>
    <xf numFmtId="0" fontId="39" fillId="26" borderId="1" xfId="0" quotePrefix="1" applyFont="1" applyFill="1" applyBorder="1" applyAlignment="1">
      <alignment horizontal="left"/>
    </xf>
    <xf numFmtId="0" fontId="33" fillId="26" borderId="1" xfId="0" applyFont="1" applyFill="1" applyBorder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167" fontId="33" fillId="26" borderId="1" xfId="0" applyNumberFormat="1" applyFont="1" applyFill="1" applyBorder="1" applyAlignment="1">
      <alignment horizontal="center" vertical="center"/>
    </xf>
    <xf numFmtId="165" fontId="31" fillId="26" borderId="1" xfId="0" applyNumberFormat="1" applyFont="1" applyFill="1" applyBorder="1" applyAlignment="1">
      <alignment horizontal="center" vertical="center"/>
    </xf>
    <xf numFmtId="0" fontId="33" fillId="26" borderId="1" xfId="0" applyFont="1" applyFill="1" applyBorder="1"/>
    <xf numFmtId="0" fontId="31" fillId="26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vertical="center"/>
    </xf>
    <xf numFmtId="169" fontId="31" fillId="26" borderId="1" xfId="0" applyNumberFormat="1" applyFont="1" applyFill="1" applyBorder="1" applyAlignment="1">
      <alignment horizontal="center" vertical="center" wrapText="1"/>
    </xf>
    <xf numFmtId="169" fontId="31" fillId="26" borderId="1" xfId="0" applyNumberFormat="1" applyFont="1" applyFill="1" applyBorder="1" applyAlignment="1">
      <alignment horizontal="center" vertical="center"/>
    </xf>
    <xf numFmtId="167" fontId="32" fillId="26" borderId="1" xfId="0" applyNumberFormat="1" applyFont="1" applyFill="1" applyBorder="1" applyAlignment="1">
      <alignment horizontal="center" vertical="center"/>
    </xf>
    <xf numFmtId="170" fontId="33" fillId="26" borderId="1" xfId="0" applyNumberFormat="1" applyFont="1" applyFill="1" applyBorder="1" applyAlignment="1">
      <alignment horizontal="center" vertical="center"/>
    </xf>
    <xf numFmtId="165" fontId="33" fillId="26" borderId="1" xfId="0" applyNumberFormat="1" applyFont="1" applyFill="1" applyBorder="1" applyAlignment="1">
      <alignment horizontal="center" vertical="center"/>
    </xf>
    <xf numFmtId="165" fontId="33" fillId="26" borderId="19" xfId="0" applyNumberFormat="1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left" vertical="center"/>
    </xf>
    <xf numFmtId="167" fontId="33" fillId="26" borderId="1" xfId="0" applyNumberFormat="1" applyFont="1" applyFill="1" applyBorder="1" applyAlignment="1">
      <alignment horizontal="center"/>
    </xf>
    <xf numFmtId="3" fontId="31" fillId="26" borderId="1" xfId="0" applyNumberFormat="1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/>
    </xf>
    <xf numFmtId="1" fontId="33" fillId="26" borderId="1" xfId="0" applyNumberFormat="1" applyFont="1" applyFill="1" applyBorder="1" applyAlignment="1">
      <alignment horizontal="center" vertical="center"/>
    </xf>
    <xf numFmtId="171" fontId="31" fillId="26" borderId="1" xfId="60" applyNumberFormat="1" applyFont="1" applyFill="1" applyBorder="1" applyAlignment="1">
      <alignment horizontal="center" vertical="center"/>
    </xf>
    <xf numFmtId="1" fontId="31" fillId="26" borderId="1" xfId="0" applyNumberFormat="1" applyFont="1" applyFill="1" applyBorder="1" applyAlignment="1">
      <alignment horizontal="center" vertical="center"/>
    </xf>
    <xf numFmtId="167" fontId="31" fillId="26" borderId="1" xfId="0" applyNumberFormat="1" applyFont="1" applyFill="1" applyBorder="1" applyAlignment="1">
      <alignment horizontal="center"/>
    </xf>
    <xf numFmtId="0" fontId="33" fillId="26" borderId="1" xfId="0" applyFont="1" applyFill="1" applyBorder="1" applyAlignment="1">
      <alignment horizontal="left" vertical="center" wrapText="1"/>
    </xf>
    <xf numFmtId="167" fontId="31" fillId="26" borderId="1" xfId="0" applyNumberFormat="1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horizontal="center" vertical="center" wrapText="1"/>
    </xf>
    <xf numFmtId="165" fontId="31" fillId="26" borderId="11" xfId="0" applyNumberFormat="1" applyFont="1" applyFill="1" applyBorder="1" applyAlignment="1">
      <alignment horizontal="center" vertical="center"/>
    </xf>
    <xf numFmtId="165" fontId="31" fillId="26" borderId="13" xfId="0" applyNumberFormat="1" applyFont="1" applyFill="1" applyBorder="1" applyAlignment="1">
      <alignment horizontal="center" vertical="center"/>
    </xf>
    <xf numFmtId="165" fontId="33" fillId="31" borderId="11" xfId="0" applyNumberFormat="1" applyFont="1" applyFill="1" applyBorder="1" applyAlignment="1">
      <alignment horizontal="center" vertical="center"/>
    </xf>
    <xf numFmtId="165" fontId="33" fillId="31" borderId="13" xfId="0" applyNumberFormat="1" applyFont="1" applyFill="1" applyBorder="1" applyAlignment="1">
      <alignment horizontal="center" vertical="center"/>
    </xf>
    <xf numFmtId="172" fontId="31" fillId="26" borderId="11" xfId="0" applyNumberFormat="1" applyFont="1" applyFill="1" applyBorder="1" applyAlignment="1">
      <alignment horizontal="center" vertical="center"/>
    </xf>
    <xf numFmtId="172" fontId="31" fillId="26" borderId="13" xfId="0" applyNumberFormat="1" applyFont="1" applyFill="1" applyBorder="1" applyAlignment="1">
      <alignment horizontal="center" vertical="center"/>
    </xf>
    <xf numFmtId="0" fontId="31" fillId="26" borderId="20" xfId="0" applyFont="1" applyFill="1" applyBorder="1" applyAlignment="1">
      <alignment horizontal="center" vertical="center"/>
    </xf>
    <xf numFmtId="0" fontId="31" fillId="26" borderId="15" xfId="0" applyFont="1" applyFill="1" applyBorder="1" applyAlignment="1">
      <alignment horizontal="center" vertical="center"/>
    </xf>
    <xf numFmtId="0" fontId="31" fillId="26" borderId="11" xfId="0" applyFont="1" applyFill="1" applyBorder="1" applyAlignment="1">
      <alignment horizontal="center" vertical="center"/>
    </xf>
    <xf numFmtId="0" fontId="31" fillId="26" borderId="12" xfId="0" applyFont="1" applyFill="1" applyBorder="1" applyAlignment="1">
      <alignment horizontal="center" vertical="center"/>
    </xf>
    <xf numFmtId="0" fontId="31" fillId="26" borderId="13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169" fontId="31" fillId="26" borderId="11" xfId="0" applyNumberFormat="1" applyFont="1" applyFill="1" applyBorder="1" applyAlignment="1">
      <alignment horizontal="center" vertical="center" wrapText="1"/>
    </xf>
    <xf numFmtId="169" fontId="31" fillId="26" borderId="13" xfId="0" applyNumberFormat="1" applyFont="1" applyFill="1" applyBorder="1" applyAlignment="1">
      <alignment horizontal="center" vertical="center" wrapText="1"/>
    </xf>
    <xf numFmtId="169" fontId="31" fillId="26" borderId="1" xfId="0" applyNumberFormat="1" applyFont="1" applyFill="1" applyBorder="1" applyAlignment="1">
      <alignment horizontal="center" vertical="center" wrapText="1"/>
    </xf>
    <xf numFmtId="3" fontId="31" fillId="26" borderId="11" xfId="0" applyNumberFormat="1" applyFont="1" applyFill="1" applyBorder="1" applyAlignment="1">
      <alignment horizontal="center" vertical="center"/>
    </xf>
    <xf numFmtId="3" fontId="31" fillId="26" borderId="13" xfId="0" applyNumberFormat="1" applyFont="1" applyFill="1" applyBorder="1" applyAlignment="1">
      <alignment horizontal="center" vertical="center"/>
    </xf>
    <xf numFmtId="3" fontId="31" fillId="26" borderId="12" xfId="0" applyNumberFormat="1" applyFont="1" applyFill="1" applyBorder="1" applyAlignment="1">
      <alignment horizontal="center" vertical="center"/>
    </xf>
    <xf numFmtId="165" fontId="31" fillId="26" borderId="12" xfId="0" applyNumberFormat="1" applyFont="1" applyFill="1" applyBorder="1" applyAlignment="1">
      <alignment horizontal="center" vertical="center"/>
    </xf>
    <xf numFmtId="167" fontId="31" fillId="26" borderId="1" xfId="0" applyNumberFormat="1" applyFont="1" applyFill="1" applyBorder="1" applyAlignment="1">
      <alignment horizontal="center" vertical="center" wrapText="1"/>
    </xf>
    <xf numFmtId="0" fontId="32" fillId="27" borderId="15" xfId="0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 wrapText="1"/>
    </xf>
    <xf numFmtId="0" fontId="32" fillId="27" borderId="1" xfId="0" applyFont="1" applyFill="1" applyBorder="1" applyAlignment="1">
      <alignment horizontal="center" vertical="center"/>
    </xf>
    <xf numFmtId="0" fontId="38" fillId="27" borderId="1" xfId="0" applyFont="1" applyFill="1" applyBorder="1" applyAlignment="1">
      <alignment vertical="center"/>
    </xf>
    <xf numFmtId="165" fontId="33" fillId="27" borderId="11" xfId="0" applyNumberFormat="1" applyFont="1" applyFill="1" applyBorder="1" applyAlignment="1">
      <alignment horizontal="center" vertical="center"/>
    </xf>
    <xf numFmtId="165" fontId="33" fillId="27" borderId="12" xfId="0" applyNumberFormat="1" applyFont="1" applyFill="1" applyBorder="1" applyAlignment="1">
      <alignment horizontal="center" vertical="center"/>
    </xf>
    <xf numFmtId="165" fontId="33" fillId="27" borderId="13" xfId="0" applyNumberFormat="1" applyFont="1" applyFill="1" applyBorder="1" applyAlignment="1">
      <alignment horizontal="center" vertical="center"/>
    </xf>
    <xf numFmtId="169" fontId="31" fillId="27" borderId="11" xfId="0" applyNumberFormat="1" applyFont="1" applyFill="1" applyBorder="1" applyAlignment="1">
      <alignment horizontal="center" vertical="center"/>
    </xf>
    <xf numFmtId="169" fontId="31" fillId="27" borderId="12" xfId="0" applyNumberFormat="1" applyFont="1" applyFill="1" applyBorder="1" applyAlignment="1">
      <alignment horizontal="center" vertical="center"/>
    </xf>
    <xf numFmtId="169" fontId="31" fillId="27" borderId="13" xfId="0" applyNumberFormat="1" applyFont="1" applyFill="1" applyBorder="1" applyAlignment="1">
      <alignment horizontal="center" vertical="center"/>
    </xf>
    <xf numFmtId="165" fontId="31" fillId="27" borderId="11" xfId="0" applyNumberFormat="1" applyFont="1" applyFill="1" applyBorder="1" applyAlignment="1">
      <alignment horizontal="center" vertical="center" wrapText="1"/>
    </xf>
    <xf numFmtId="165" fontId="31" fillId="27" borderId="13" xfId="0" applyNumberFormat="1" applyFont="1" applyFill="1" applyBorder="1" applyAlignment="1">
      <alignment horizontal="center" vertical="center" wrapText="1"/>
    </xf>
    <xf numFmtId="165" fontId="38" fillId="27" borderId="11" xfId="0" applyNumberFormat="1" applyFont="1" applyFill="1" applyBorder="1" applyAlignment="1">
      <alignment horizontal="center" vertical="center" wrapText="1"/>
    </xf>
    <xf numFmtId="165" fontId="38" fillId="27" borderId="13" xfId="0" applyNumberFormat="1" applyFont="1" applyFill="1" applyBorder="1" applyAlignment="1">
      <alignment horizontal="center" vertical="center" wrapText="1"/>
    </xf>
    <xf numFmtId="165" fontId="32" fillId="27" borderId="11" xfId="0" applyNumberFormat="1" applyFont="1" applyFill="1" applyBorder="1" applyAlignment="1">
      <alignment horizontal="center" vertical="center" wrapText="1"/>
    </xf>
    <xf numFmtId="165" fontId="32" fillId="27" borderId="13" xfId="0" applyNumberFormat="1" applyFont="1" applyFill="1" applyBorder="1" applyAlignment="1">
      <alignment horizontal="center" vertical="center" wrapText="1"/>
    </xf>
    <xf numFmtId="165" fontId="33" fillId="27" borderId="11" xfId="0" applyNumberFormat="1" applyFont="1" applyFill="1" applyBorder="1" applyAlignment="1">
      <alignment horizontal="center" vertical="center" wrapText="1"/>
    </xf>
    <xf numFmtId="165" fontId="33" fillId="27" borderId="12" xfId="0" applyNumberFormat="1" applyFont="1" applyFill="1" applyBorder="1" applyAlignment="1">
      <alignment horizontal="center" vertical="center" wrapText="1"/>
    </xf>
    <xf numFmtId="165" fontId="33" fillId="27" borderId="13" xfId="0" applyNumberFormat="1" applyFont="1" applyFill="1" applyBorder="1" applyAlignment="1">
      <alignment horizontal="center" vertical="center" wrapText="1"/>
    </xf>
    <xf numFmtId="169" fontId="31" fillId="27" borderId="11" xfId="0" applyNumberFormat="1" applyFont="1" applyFill="1" applyBorder="1" applyAlignment="1">
      <alignment horizontal="center" vertical="center" wrapText="1"/>
    </xf>
    <xf numFmtId="169" fontId="31" fillId="27" borderId="12" xfId="0" applyNumberFormat="1" applyFont="1" applyFill="1" applyBorder="1" applyAlignment="1">
      <alignment horizontal="center" vertical="center" wrapText="1"/>
    </xf>
    <xf numFmtId="169" fontId="31" fillId="27" borderId="13" xfId="0" applyNumberFormat="1" applyFont="1" applyFill="1" applyBorder="1" applyAlignment="1">
      <alignment horizontal="center" vertical="center" wrapText="1"/>
    </xf>
    <xf numFmtId="167" fontId="32" fillId="27" borderId="11" xfId="0" applyNumberFormat="1" applyFont="1" applyFill="1" applyBorder="1" applyAlignment="1">
      <alignment horizontal="center" vertical="center"/>
    </xf>
    <xf numFmtId="167" fontId="32" fillId="27" borderId="12" xfId="0" applyNumberFormat="1" applyFont="1" applyFill="1" applyBorder="1" applyAlignment="1">
      <alignment horizontal="center" vertical="center"/>
    </xf>
    <xf numFmtId="167" fontId="32" fillId="27" borderId="13" xfId="0" applyNumberFormat="1" applyFont="1" applyFill="1" applyBorder="1" applyAlignment="1">
      <alignment horizontal="center" vertical="center"/>
    </xf>
    <xf numFmtId="165" fontId="31" fillId="27" borderId="12" xfId="0" applyNumberFormat="1" applyFont="1" applyFill="1" applyBorder="1" applyAlignment="1">
      <alignment horizontal="center" vertical="center" wrapText="1"/>
    </xf>
    <xf numFmtId="169" fontId="31" fillId="27" borderId="1" xfId="0" applyNumberFormat="1" applyFont="1" applyFill="1" applyBorder="1" applyAlignment="1">
      <alignment horizontal="center" vertical="center" wrapText="1"/>
    </xf>
    <xf numFmtId="167" fontId="32" fillId="27" borderId="1" xfId="0" applyNumberFormat="1" applyFont="1" applyFill="1" applyBorder="1" applyAlignment="1">
      <alignment horizontal="center" vertical="center"/>
    </xf>
    <xf numFmtId="165" fontId="31" fillId="27" borderId="1" xfId="0" applyNumberFormat="1" applyFont="1" applyFill="1" applyBorder="1" applyAlignment="1">
      <alignment horizontal="center" vertical="center" wrapText="1"/>
    </xf>
    <xf numFmtId="169" fontId="31" fillId="27" borderId="1" xfId="0" applyNumberFormat="1" applyFont="1" applyFill="1" applyBorder="1" applyAlignment="1">
      <alignment horizontal="center" vertical="center"/>
    </xf>
    <xf numFmtId="3" fontId="31" fillId="27" borderId="11" xfId="0" applyNumberFormat="1" applyFont="1" applyFill="1" applyBorder="1" applyAlignment="1">
      <alignment horizontal="center" vertical="center"/>
    </xf>
    <xf numFmtId="3" fontId="31" fillId="27" borderId="12" xfId="0" applyNumberFormat="1" applyFont="1" applyFill="1" applyBorder="1" applyAlignment="1">
      <alignment horizontal="center" vertical="center"/>
    </xf>
    <xf numFmtId="3" fontId="31" fillId="27" borderId="13" xfId="0" applyNumberFormat="1" applyFont="1" applyFill="1" applyBorder="1" applyAlignment="1">
      <alignment horizontal="center" vertical="center"/>
    </xf>
    <xf numFmtId="165" fontId="33" fillId="27" borderId="1" xfId="0" applyNumberFormat="1" applyFont="1" applyFill="1" applyBorder="1" applyAlignment="1">
      <alignment horizontal="center" vertical="center"/>
    </xf>
    <xf numFmtId="165" fontId="31" fillId="27" borderId="1" xfId="0" applyNumberFormat="1" applyFont="1" applyFill="1" applyBorder="1" applyAlignment="1">
      <alignment horizontal="center" vertical="center"/>
    </xf>
    <xf numFmtId="167" fontId="32" fillId="26" borderId="11" xfId="0" applyNumberFormat="1" applyFont="1" applyFill="1" applyBorder="1" applyAlignment="1">
      <alignment horizontal="center" vertical="center"/>
    </xf>
    <xf numFmtId="167" fontId="32" fillId="26" borderId="13" xfId="0" applyNumberFormat="1" applyFont="1" applyFill="1" applyBorder="1" applyAlignment="1">
      <alignment horizontal="center" vertical="center"/>
    </xf>
    <xf numFmtId="3" fontId="31" fillId="27" borderId="1" xfId="0" applyNumberFormat="1" applyFont="1" applyFill="1" applyBorder="1" applyAlignment="1">
      <alignment horizontal="center" vertical="center"/>
    </xf>
    <xf numFmtId="165" fontId="31" fillId="26" borderId="1" xfId="0" applyNumberFormat="1" applyFont="1" applyFill="1" applyBorder="1" applyAlignment="1">
      <alignment horizontal="center" vertical="center"/>
    </xf>
    <xf numFmtId="169" fontId="31" fillId="26" borderId="1" xfId="0" applyNumberFormat="1" applyFont="1" applyFill="1" applyBorder="1" applyAlignment="1">
      <alignment horizontal="center" vertical="center"/>
    </xf>
    <xf numFmtId="167" fontId="32" fillId="26" borderId="1" xfId="0" applyNumberFormat="1" applyFont="1" applyFill="1" applyBorder="1" applyAlignment="1">
      <alignment horizontal="center" vertical="center"/>
    </xf>
    <xf numFmtId="169" fontId="31" fillId="26" borderId="11" xfId="0" applyNumberFormat="1" applyFont="1" applyFill="1" applyBorder="1" applyAlignment="1">
      <alignment horizontal="center" vertical="center"/>
    </xf>
    <xf numFmtId="169" fontId="31" fillId="26" borderId="13" xfId="0" applyNumberFormat="1" applyFont="1" applyFill="1" applyBorder="1" applyAlignment="1">
      <alignment horizontal="center" vertical="center"/>
    </xf>
    <xf numFmtId="165" fontId="33" fillId="26" borderId="11" xfId="0" applyNumberFormat="1" applyFont="1" applyFill="1" applyBorder="1" applyAlignment="1">
      <alignment horizontal="center" vertical="center"/>
    </xf>
    <xf numFmtId="165" fontId="33" fillId="26" borderId="12" xfId="0" applyNumberFormat="1" applyFont="1" applyFill="1" applyBorder="1" applyAlignment="1">
      <alignment horizontal="center" vertical="center"/>
    </xf>
    <xf numFmtId="165" fontId="33" fillId="26" borderId="13" xfId="0" applyNumberFormat="1" applyFont="1" applyFill="1" applyBorder="1" applyAlignment="1">
      <alignment horizontal="center" vertical="center"/>
    </xf>
    <xf numFmtId="165" fontId="33" fillId="26" borderId="17" xfId="0" applyNumberFormat="1" applyFont="1" applyFill="1" applyBorder="1" applyAlignment="1">
      <alignment horizontal="center" vertical="center"/>
    </xf>
    <xf numFmtId="165" fontId="33" fillId="26" borderId="16" xfId="0" applyNumberFormat="1" applyFont="1" applyFill="1" applyBorder="1" applyAlignment="1">
      <alignment horizontal="center" vertical="center"/>
    </xf>
    <xf numFmtId="165" fontId="33" fillId="26" borderId="18" xfId="0" applyNumberFormat="1" applyFont="1" applyFill="1" applyBorder="1" applyAlignment="1">
      <alignment horizontal="center" vertical="center"/>
    </xf>
    <xf numFmtId="165" fontId="33" fillId="31" borderId="1" xfId="0" applyNumberFormat="1" applyFont="1" applyFill="1" applyBorder="1" applyAlignment="1">
      <alignment horizontal="center" vertical="center"/>
    </xf>
    <xf numFmtId="165" fontId="33" fillId="26" borderId="19" xfId="0" applyNumberFormat="1" applyFont="1" applyFill="1" applyBorder="1" applyAlignment="1">
      <alignment horizontal="center" vertical="center"/>
    </xf>
    <xf numFmtId="3" fontId="31" fillId="26" borderId="11" xfId="0" applyNumberFormat="1" applyFont="1" applyFill="1" applyBorder="1" applyAlignment="1">
      <alignment horizontal="center" vertical="center" wrapText="1"/>
    </xf>
    <xf numFmtId="3" fontId="31" fillId="26" borderId="12" xfId="0" applyNumberFormat="1" applyFont="1" applyFill="1" applyBorder="1" applyAlignment="1">
      <alignment horizontal="center" vertical="center" wrapText="1"/>
    </xf>
    <xf numFmtId="3" fontId="31" fillId="26" borderId="13" xfId="0" applyNumberFormat="1" applyFont="1" applyFill="1" applyBorder="1" applyAlignment="1">
      <alignment horizontal="center" vertical="center" wrapText="1"/>
    </xf>
    <xf numFmtId="169" fontId="31" fillId="26" borderId="12" xfId="0" applyNumberFormat="1" applyFont="1" applyFill="1" applyBorder="1" applyAlignment="1">
      <alignment horizontal="center" vertical="center" wrapText="1"/>
    </xf>
    <xf numFmtId="167" fontId="32" fillId="26" borderId="12" xfId="0" applyNumberFormat="1" applyFont="1" applyFill="1" applyBorder="1" applyAlignment="1">
      <alignment horizontal="center" vertical="center"/>
    </xf>
    <xf numFmtId="169" fontId="31" fillId="26" borderId="12" xfId="0" applyNumberFormat="1" applyFont="1" applyFill="1" applyBorder="1" applyAlignment="1">
      <alignment horizontal="center" vertical="center"/>
    </xf>
    <xf numFmtId="0" fontId="35" fillId="27" borderId="11" xfId="0" applyFont="1" applyFill="1" applyBorder="1" applyAlignment="1">
      <alignment horizontal="center" vertical="center" wrapText="1"/>
    </xf>
    <xf numFmtId="0" fontId="35" fillId="27" borderId="13" xfId="0" applyFont="1" applyFill="1" applyBorder="1" applyAlignment="1">
      <alignment horizontal="center" vertical="center" wrapText="1"/>
    </xf>
    <xf numFmtId="0" fontId="37" fillId="27" borderId="11" xfId="0" applyFont="1" applyFill="1" applyBorder="1" applyAlignment="1">
      <alignment horizontal="center" vertical="center"/>
    </xf>
    <xf numFmtId="0" fontId="37" fillId="27" borderId="12" xfId="0" applyFont="1" applyFill="1" applyBorder="1" applyAlignment="1">
      <alignment horizontal="center" vertical="center"/>
    </xf>
    <xf numFmtId="0" fontId="37" fillId="27" borderId="13" xfId="0" applyFont="1" applyFill="1" applyBorder="1" applyAlignment="1">
      <alignment horizontal="center" vertical="center"/>
    </xf>
    <xf numFmtId="0" fontId="41" fillId="27" borderId="11" xfId="0" applyFont="1" applyFill="1" applyBorder="1" applyAlignment="1">
      <alignment horizontal="center" vertical="center" wrapText="1"/>
    </xf>
    <xf numFmtId="0" fontId="41" fillId="27" borderId="12" xfId="0" applyFont="1" applyFill="1" applyBorder="1" applyAlignment="1">
      <alignment horizontal="center" vertical="center" wrapText="1"/>
    </xf>
    <xf numFmtId="0" fontId="41" fillId="27" borderId="13" xfId="0" applyFont="1" applyFill="1" applyBorder="1" applyAlignment="1">
      <alignment horizontal="center" vertical="center" wrapText="1"/>
    </xf>
    <xf numFmtId="0" fontId="31" fillId="26" borderId="11" xfId="0" applyFont="1" applyFill="1" applyBorder="1" applyAlignment="1">
      <alignment horizontal="center"/>
    </xf>
    <xf numFmtId="0" fontId="31" fillId="26" borderId="12" xfId="0" applyFont="1" applyFill="1" applyBorder="1" applyAlignment="1">
      <alignment horizontal="center"/>
    </xf>
    <xf numFmtId="0" fontId="31" fillId="26" borderId="13" xfId="0" applyFont="1" applyFill="1" applyBorder="1" applyAlignment="1">
      <alignment horizontal="center"/>
    </xf>
    <xf numFmtId="165" fontId="33" fillId="27" borderId="19" xfId="0" applyNumberFormat="1" applyFont="1" applyFill="1" applyBorder="1" applyAlignment="1">
      <alignment horizontal="center" vertical="center"/>
    </xf>
    <xf numFmtId="0" fontId="35" fillId="27" borderId="16" xfId="0" applyFont="1" applyFill="1" applyBorder="1" applyAlignment="1">
      <alignment horizontal="center" vertical="center" wrapText="1"/>
    </xf>
    <xf numFmtId="165" fontId="33" fillId="27" borderId="17" xfId="0" applyNumberFormat="1" applyFont="1" applyFill="1" applyBorder="1" applyAlignment="1">
      <alignment horizontal="center" vertical="center"/>
    </xf>
    <xf numFmtId="165" fontId="33" fillId="27" borderId="16" xfId="0" applyNumberFormat="1" applyFont="1" applyFill="1" applyBorder="1" applyAlignment="1">
      <alignment horizontal="center" vertical="center"/>
    </xf>
    <xf numFmtId="165" fontId="33" fillId="27" borderId="18" xfId="0" applyNumberFormat="1" applyFont="1" applyFill="1" applyBorder="1" applyAlignment="1">
      <alignment horizontal="center" vertical="center"/>
    </xf>
    <xf numFmtId="165" fontId="33" fillId="27" borderId="17" xfId="0" applyNumberFormat="1" applyFont="1" applyFill="1" applyBorder="1" applyAlignment="1">
      <alignment horizontal="center" vertical="center" wrapText="1"/>
    </xf>
    <xf numFmtId="165" fontId="33" fillId="27" borderId="16" xfId="0" applyNumberFormat="1" applyFont="1" applyFill="1" applyBorder="1" applyAlignment="1">
      <alignment horizontal="center" vertical="center" wrapText="1"/>
    </xf>
    <xf numFmtId="165" fontId="33" fillId="27" borderId="18" xfId="0" applyNumberFormat="1" applyFont="1" applyFill="1" applyBorder="1" applyAlignment="1">
      <alignment horizontal="center" vertical="center" wrapText="1"/>
    </xf>
    <xf numFmtId="165" fontId="32" fillId="2" borderId="11" xfId="0" applyNumberFormat="1" applyFont="1" applyFill="1" applyBorder="1" applyAlignment="1">
      <alignment horizontal="center" vertical="center" wrapText="1"/>
    </xf>
    <xf numFmtId="165" fontId="32" fillId="2" borderId="13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vertical="center"/>
    </xf>
    <xf numFmtId="168" fontId="40" fillId="30" borderId="11" xfId="0" applyNumberFormat="1" applyFont="1" applyFill="1" applyBorder="1" applyAlignment="1">
      <alignment horizontal="center" vertical="center" wrapText="1"/>
    </xf>
    <xf numFmtId="168" fontId="40" fillId="30" borderId="12" xfId="0" applyNumberFormat="1" applyFont="1" applyFill="1" applyBorder="1" applyAlignment="1">
      <alignment horizontal="center" vertical="center" wrapText="1"/>
    </xf>
    <xf numFmtId="168" fontId="40" fillId="30" borderId="13" xfId="0" applyNumberFormat="1" applyFont="1" applyFill="1" applyBorder="1" applyAlignment="1">
      <alignment horizontal="center" vertical="center" wrapText="1"/>
    </xf>
    <xf numFmtId="168" fontId="31" fillId="2" borderId="11" xfId="0" applyNumberFormat="1" applyFont="1" applyFill="1" applyBorder="1" applyAlignment="1">
      <alignment horizontal="center" vertical="center" wrapText="1"/>
    </xf>
    <xf numFmtId="168" fontId="31" fillId="2" borderId="12" xfId="0" applyNumberFormat="1" applyFont="1" applyFill="1" applyBorder="1" applyAlignment="1">
      <alignment horizontal="center" vertical="center" wrapText="1"/>
    </xf>
    <xf numFmtId="168" fontId="31" fillId="2" borderId="13" xfId="0" applyNumberFormat="1" applyFont="1" applyFill="1" applyBorder="1" applyAlignment="1">
      <alignment horizontal="center" vertical="center" wrapText="1"/>
    </xf>
    <xf numFmtId="168" fontId="31" fillId="2" borderId="14" xfId="0" applyNumberFormat="1" applyFont="1" applyFill="1" applyBorder="1" applyAlignment="1">
      <alignment horizontal="center" vertical="center" wrapText="1"/>
    </xf>
    <xf numFmtId="14" fontId="31" fillId="2" borderId="1" xfId="0" applyNumberFormat="1" applyFont="1" applyFill="1" applyBorder="1" applyAlignment="1">
      <alignment horizontal="center" vertical="center" wrapText="1"/>
    </xf>
    <xf numFmtId="14" fontId="31" fillId="2" borderId="11" xfId="0" applyNumberFormat="1" applyFont="1" applyFill="1" applyBorder="1" applyAlignment="1">
      <alignment horizontal="center" vertical="center" wrapText="1"/>
    </xf>
    <xf numFmtId="14" fontId="31" fillId="2" borderId="12" xfId="0" applyNumberFormat="1" applyFont="1" applyFill="1" applyBorder="1" applyAlignment="1">
      <alignment horizontal="center" vertical="center" wrapText="1"/>
    </xf>
    <xf numFmtId="14" fontId="31" fillId="2" borderId="13" xfId="0" applyNumberFormat="1" applyFont="1" applyFill="1" applyBorder="1" applyAlignment="1">
      <alignment horizontal="center" vertical="center" wrapText="1"/>
    </xf>
    <xf numFmtId="174" fontId="31" fillId="2" borderId="1" xfId="0" applyNumberFormat="1" applyFont="1" applyFill="1" applyBorder="1" applyAlignment="1">
      <alignment horizontal="center" vertical="center" wrapText="1"/>
    </xf>
    <xf numFmtId="15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5" fontId="31" fillId="2" borderId="11" xfId="0" applyNumberFormat="1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47" fillId="29" borderId="1" xfId="0" applyFont="1" applyFill="1" applyBorder="1" applyAlignment="1">
      <alignment horizontal="left" vertical="center" wrapText="1"/>
    </xf>
  </cellXfs>
  <cellStyles count="85">
    <cellStyle name="20% - Accent1 2" xfId="31" xr:uid="{00000000-0005-0000-0000-000000000000}"/>
    <cellStyle name="20% - Accent2 2" xfId="32" xr:uid="{00000000-0005-0000-0000-000001000000}"/>
    <cellStyle name="20% - Accent3 2" xfId="33" xr:uid="{00000000-0005-0000-0000-000002000000}"/>
    <cellStyle name="20% - Accent4 2" xfId="34" xr:uid="{00000000-0005-0000-0000-000003000000}"/>
    <cellStyle name="20% - Accent5 2" xfId="35" xr:uid="{00000000-0005-0000-0000-000004000000}"/>
    <cellStyle name="20% - Accent6 2" xfId="36" xr:uid="{00000000-0005-0000-0000-000005000000}"/>
    <cellStyle name="40% - Accent1 2" xfId="37" xr:uid="{00000000-0005-0000-0000-000006000000}"/>
    <cellStyle name="40% - Accent2 2" xfId="38" xr:uid="{00000000-0005-0000-0000-000007000000}"/>
    <cellStyle name="40% - Accent3 2" xfId="39" xr:uid="{00000000-0005-0000-0000-000008000000}"/>
    <cellStyle name="40% - Accent4 2" xfId="40" xr:uid="{00000000-0005-0000-0000-000009000000}"/>
    <cellStyle name="40% - Accent5 2" xfId="41" xr:uid="{00000000-0005-0000-0000-00000A000000}"/>
    <cellStyle name="40% - Accent6 2" xfId="42" xr:uid="{00000000-0005-0000-0000-00000B000000}"/>
    <cellStyle name="60% - Accent1 2" xfId="43" xr:uid="{00000000-0005-0000-0000-00000C000000}"/>
    <cellStyle name="60% - Accent2 2" xfId="44" xr:uid="{00000000-0005-0000-0000-00000D000000}"/>
    <cellStyle name="60% - Accent3 2" xfId="45" xr:uid="{00000000-0005-0000-0000-00000E000000}"/>
    <cellStyle name="60% - Accent4 2" xfId="46" xr:uid="{00000000-0005-0000-0000-00000F000000}"/>
    <cellStyle name="60% - Accent5 2" xfId="47" xr:uid="{00000000-0005-0000-0000-000010000000}"/>
    <cellStyle name="60% - Accent6 2" xfId="48" xr:uid="{00000000-0005-0000-0000-000011000000}"/>
    <cellStyle name="Accent1 2" xfId="49" xr:uid="{00000000-0005-0000-0000-000012000000}"/>
    <cellStyle name="Accent2 2" xfId="50" xr:uid="{00000000-0005-0000-0000-000013000000}"/>
    <cellStyle name="Accent3 2" xfId="51" xr:uid="{00000000-0005-0000-0000-000014000000}"/>
    <cellStyle name="Accent4 2" xfId="52" xr:uid="{00000000-0005-0000-0000-000015000000}"/>
    <cellStyle name="Accent5 2" xfId="53" xr:uid="{00000000-0005-0000-0000-000016000000}"/>
    <cellStyle name="Accent6 2" xfId="54" xr:uid="{00000000-0005-0000-0000-000017000000}"/>
    <cellStyle name="Bad 2" xfId="55" xr:uid="{00000000-0005-0000-0000-000018000000}"/>
    <cellStyle name="Calculation 2" xfId="56" xr:uid="{00000000-0005-0000-0000-000019000000}"/>
    <cellStyle name="Check Cell 2" xfId="57" xr:uid="{00000000-0005-0000-0000-00001A000000}"/>
    <cellStyle name="Comma 2" xfId="26" xr:uid="{00000000-0005-0000-0000-00001B000000}"/>
    <cellStyle name="Comma 2 2" xfId="58" xr:uid="{00000000-0005-0000-0000-00001C000000}"/>
    <cellStyle name="Comma 3" xfId="25" xr:uid="{00000000-0005-0000-0000-00001D000000}"/>
    <cellStyle name="Comma 4" xfId="59" xr:uid="{00000000-0005-0000-0000-00001E000000}"/>
    <cellStyle name="Currency 2" xfId="80" xr:uid="{00000000-0005-0000-0000-00001F000000}"/>
    <cellStyle name="Currency 2 2 2" xfId="60" xr:uid="{00000000-0005-0000-0000-000020000000}"/>
    <cellStyle name="Currency 2 2 2 2" xfId="82" xr:uid="{00000000-0005-0000-0000-000021000000}"/>
    <cellStyle name="Currency 3" xfId="81" xr:uid="{00000000-0005-0000-0000-000022000000}"/>
    <cellStyle name="Explanatory Text 2" xfId="61" xr:uid="{00000000-0005-0000-0000-000023000000}"/>
    <cellStyle name="Good 2" xfId="62" xr:uid="{00000000-0005-0000-0000-000024000000}"/>
    <cellStyle name="Heading 1 2" xfId="63" xr:uid="{00000000-0005-0000-0000-000025000000}"/>
    <cellStyle name="Heading 2 2" xfId="64" xr:uid="{00000000-0005-0000-0000-000026000000}"/>
    <cellStyle name="Heading 3 2" xfId="65" xr:uid="{00000000-0005-0000-0000-000027000000}"/>
    <cellStyle name="Heading 4 2" xfId="66" xr:uid="{00000000-0005-0000-0000-000028000000}"/>
    <cellStyle name="Input 2" xfId="67" xr:uid="{00000000-0005-0000-0000-000029000000}"/>
    <cellStyle name="Linked Cell 2" xfId="68" xr:uid="{00000000-0005-0000-0000-00002A000000}"/>
    <cellStyle name="Neutral 2" xfId="69" xr:uid="{00000000-0005-0000-0000-00002B000000}"/>
    <cellStyle name="Normal" xfId="0" builtinId="0"/>
    <cellStyle name="Normal 2" xfId="23" xr:uid="{00000000-0005-0000-0000-00002D000000}"/>
    <cellStyle name="Normal 2 2" xfId="71" xr:uid="{00000000-0005-0000-0000-00002E000000}"/>
    <cellStyle name="Normal 2 2 2" xfId="83" xr:uid="{00000000-0005-0000-0000-00002F000000}"/>
    <cellStyle name="Normal 2 3" xfId="70" xr:uid="{00000000-0005-0000-0000-000030000000}"/>
    <cellStyle name="Normal 2 4" xfId="30" xr:uid="{00000000-0005-0000-0000-000031000000}"/>
    <cellStyle name="Normal 3" xfId="2" xr:uid="{00000000-0005-0000-0000-000032000000}"/>
    <cellStyle name="Normal 3 2" xfId="27" xr:uid="{00000000-0005-0000-0000-000033000000}"/>
    <cellStyle name="Normal 3 2 2" xfId="72" xr:uid="{00000000-0005-0000-0000-000034000000}"/>
    <cellStyle name="Normal 4" xfId="24" xr:uid="{00000000-0005-0000-0000-000035000000}"/>
    <cellStyle name="Normal 4 2" xfId="28" xr:uid="{00000000-0005-0000-0000-000036000000}"/>
    <cellStyle name="Normal 5" xfId="84" xr:uid="{00000000-0005-0000-0000-000037000000}"/>
    <cellStyle name="Note 2" xfId="73" xr:uid="{00000000-0005-0000-0000-000038000000}"/>
    <cellStyle name="Output 2" xfId="74" xr:uid="{00000000-0005-0000-0000-000039000000}"/>
    <cellStyle name="Percent 2" xfId="75" xr:uid="{00000000-0005-0000-0000-00003A000000}"/>
    <cellStyle name="Percent 3" xfId="76" xr:uid="{00000000-0005-0000-0000-00003B000000}"/>
    <cellStyle name="S0" xfId="3" xr:uid="{00000000-0005-0000-0000-00003C000000}"/>
    <cellStyle name="S1" xfId="4" xr:uid="{00000000-0005-0000-0000-00003D000000}"/>
    <cellStyle name="S10" xfId="5" xr:uid="{00000000-0005-0000-0000-00003E000000}"/>
    <cellStyle name="S11" xfId="6" xr:uid="{00000000-0005-0000-0000-00003F000000}"/>
    <cellStyle name="S12" xfId="7" xr:uid="{00000000-0005-0000-0000-000040000000}"/>
    <cellStyle name="S13" xfId="8" xr:uid="{00000000-0005-0000-0000-000041000000}"/>
    <cellStyle name="S14" xfId="9" xr:uid="{00000000-0005-0000-0000-000042000000}"/>
    <cellStyle name="S15" xfId="10" xr:uid="{00000000-0005-0000-0000-000043000000}"/>
    <cellStyle name="S16" xfId="11" xr:uid="{00000000-0005-0000-0000-000044000000}"/>
    <cellStyle name="S17" xfId="12" xr:uid="{00000000-0005-0000-0000-000045000000}"/>
    <cellStyle name="S18" xfId="13" xr:uid="{00000000-0005-0000-0000-000046000000}"/>
    <cellStyle name="S19" xfId="14" xr:uid="{00000000-0005-0000-0000-000047000000}"/>
    <cellStyle name="S2" xfId="15" xr:uid="{00000000-0005-0000-0000-000048000000}"/>
    <cellStyle name="S3" xfId="16" xr:uid="{00000000-0005-0000-0000-000049000000}"/>
    <cellStyle name="S4" xfId="17" xr:uid="{00000000-0005-0000-0000-00004A000000}"/>
    <cellStyle name="S5" xfId="18" xr:uid="{00000000-0005-0000-0000-00004B000000}"/>
    <cellStyle name="S6" xfId="19" xr:uid="{00000000-0005-0000-0000-00004C000000}"/>
    <cellStyle name="S7" xfId="20" xr:uid="{00000000-0005-0000-0000-00004D000000}"/>
    <cellStyle name="S8" xfId="21" xr:uid="{00000000-0005-0000-0000-00004E000000}"/>
    <cellStyle name="S9" xfId="22" xr:uid="{00000000-0005-0000-0000-00004F000000}"/>
    <cellStyle name="Title 2" xfId="77" xr:uid="{00000000-0005-0000-0000-000050000000}"/>
    <cellStyle name="Total 2" xfId="78" xr:uid="{00000000-0005-0000-0000-000051000000}"/>
    <cellStyle name="Warning Text 2" xfId="79" xr:uid="{00000000-0005-0000-0000-000052000000}"/>
    <cellStyle name="一般" xfId="1" xr:uid="{00000000-0005-0000-0000-000053000000}"/>
    <cellStyle name="常规_Development follow up,2014-03-11" xfId="29" xr:uid="{00000000-0005-0000-0000-000054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32"/>
  <sheetViews>
    <sheetView tabSelected="1" view="pageBreakPreview" zoomScale="85" zoomScaleNormal="85" zoomScaleSheetLayoutView="85" workbookViewId="0">
      <pane xSplit="5" ySplit="2" topLeftCell="F107" activePane="bottomRight" state="frozen"/>
      <selection pane="topRight" activeCell="K1" sqref="K1"/>
      <selection pane="bottomLeft" activeCell="A3" sqref="A3"/>
      <selection pane="bottomRight" activeCell="E4" sqref="E4:G133"/>
    </sheetView>
  </sheetViews>
  <sheetFormatPr baseColWidth="10" defaultColWidth="9.1640625" defaultRowHeight="20" customHeight="1"/>
  <cols>
    <col min="1" max="1" width="15.6640625" style="4" customWidth="1"/>
    <col min="2" max="2" width="23.33203125" style="4" customWidth="1"/>
    <col min="3" max="3" width="13.83203125" style="93" customWidth="1"/>
    <col min="4" max="4" width="71.5" style="109" customWidth="1"/>
    <col min="5" max="6" width="16" style="4" customWidth="1"/>
    <col min="7" max="7" width="23.5" style="4" customWidth="1"/>
    <col min="8" max="8" width="22" style="5" customWidth="1"/>
    <col min="9" max="16384" width="9.1640625" style="3"/>
  </cols>
  <sheetData>
    <row r="1" spans="1:8" s="1" customFormat="1" ht="20" customHeight="1">
      <c r="A1" s="241" t="s">
        <v>0</v>
      </c>
      <c r="B1" s="242" t="s">
        <v>5</v>
      </c>
      <c r="C1" s="243" t="s">
        <v>1</v>
      </c>
      <c r="D1" s="244" t="s">
        <v>3</v>
      </c>
      <c r="E1" s="241" t="s">
        <v>2</v>
      </c>
      <c r="F1" s="239" t="s">
        <v>62</v>
      </c>
      <c r="G1" s="239" t="s">
        <v>46</v>
      </c>
      <c r="H1" s="241" t="s">
        <v>8</v>
      </c>
    </row>
    <row r="2" spans="1:8" s="2" customFormat="1" ht="20" customHeight="1">
      <c r="A2" s="241"/>
      <c r="B2" s="242"/>
      <c r="C2" s="243"/>
      <c r="D2" s="244"/>
      <c r="E2" s="241"/>
      <c r="F2" s="240"/>
      <c r="G2" s="240"/>
      <c r="H2" s="241"/>
    </row>
    <row r="3" spans="1:8" ht="20" customHeight="1">
      <c r="A3" s="13" t="s">
        <v>57</v>
      </c>
      <c r="B3" s="14" t="s">
        <v>7</v>
      </c>
      <c r="C3" s="19">
        <v>209531</v>
      </c>
      <c r="D3" s="110" t="s">
        <v>48</v>
      </c>
      <c r="E3" s="16">
        <v>3400</v>
      </c>
      <c r="F3" s="17">
        <v>1.63</v>
      </c>
      <c r="G3" s="18">
        <f t="shared" ref="G3:G9" si="0">F3*E3</f>
        <v>5542</v>
      </c>
      <c r="H3" s="248">
        <v>46203</v>
      </c>
    </row>
    <row r="4" spans="1:8" ht="20" customHeight="1">
      <c r="A4" s="13" t="s">
        <v>57</v>
      </c>
      <c r="B4" s="14" t="s">
        <v>7</v>
      </c>
      <c r="C4" s="19">
        <v>209531</v>
      </c>
      <c r="D4" s="110" t="s">
        <v>49</v>
      </c>
      <c r="E4" s="16"/>
      <c r="F4" s="17"/>
      <c r="G4" s="18"/>
      <c r="H4" s="249"/>
    </row>
    <row r="5" spans="1:8" ht="20" customHeight="1">
      <c r="A5" s="13" t="s">
        <v>57</v>
      </c>
      <c r="B5" s="14" t="s">
        <v>7</v>
      </c>
      <c r="C5" s="19">
        <v>209531</v>
      </c>
      <c r="D5" s="57" t="s">
        <v>23</v>
      </c>
      <c r="E5" s="15"/>
      <c r="F5" s="20"/>
      <c r="G5" s="18"/>
      <c r="H5" s="249"/>
    </row>
    <row r="6" spans="1:8" ht="20" customHeight="1">
      <c r="A6" s="13" t="s">
        <v>57</v>
      </c>
      <c r="B6" s="14" t="s">
        <v>7</v>
      </c>
      <c r="C6" s="19">
        <v>209531</v>
      </c>
      <c r="D6" s="57" t="s">
        <v>42</v>
      </c>
      <c r="E6" s="16"/>
      <c r="F6" s="22"/>
      <c r="G6" s="18"/>
      <c r="H6" s="249"/>
    </row>
    <row r="7" spans="1:8" s="6" customFormat="1" ht="20" customHeight="1">
      <c r="A7" s="13" t="s">
        <v>57</v>
      </c>
      <c r="B7" s="14" t="s">
        <v>7</v>
      </c>
      <c r="C7" s="19">
        <v>209531</v>
      </c>
      <c r="D7" s="57" t="s">
        <v>50</v>
      </c>
      <c r="E7" s="15"/>
      <c r="F7" s="20"/>
      <c r="G7" s="18"/>
      <c r="H7" s="249"/>
    </row>
    <row r="8" spans="1:8" s="6" customFormat="1" ht="20" customHeight="1">
      <c r="A8" s="13" t="s">
        <v>57</v>
      </c>
      <c r="B8" s="14" t="s">
        <v>7</v>
      </c>
      <c r="C8" s="19">
        <v>209531</v>
      </c>
      <c r="D8" s="57" t="s">
        <v>211</v>
      </c>
      <c r="E8" s="15"/>
      <c r="F8" s="20"/>
      <c r="G8" s="18"/>
      <c r="H8" s="249"/>
    </row>
    <row r="9" spans="1:8" ht="20" customHeight="1">
      <c r="A9" s="13" t="s">
        <v>57</v>
      </c>
      <c r="B9" s="14" t="s">
        <v>7</v>
      </c>
      <c r="C9" s="19">
        <v>209531</v>
      </c>
      <c r="D9" s="110" t="s">
        <v>35</v>
      </c>
      <c r="E9" s="16"/>
      <c r="F9" s="22"/>
      <c r="G9" s="18"/>
      <c r="H9" s="249"/>
    </row>
    <row r="10" spans="1:8" ht="20" customHeight="1">
      <c r="A10" s="13" t="s">
        <v>57</v>
      </c>
      <c r="B10" s="14" t="s">
        <v>7</v>
      </c>
      <c r="C10" s="19">
        <v>209531</v>
      </c>
      <c r="D10" s="57" t="s">
        <v>30</v>
      </c>
      <c r="E10" s="16"/>
      <c r="F10" s="22"/>
      <c r="G10" s="18"/>
      <c r="H10" s="249"/>
    </row>
    <row r="11" spans="1:8" ht="20" customHeight="1">
      <c r="A11" s="13" t="s">
        <v>57</v>
      </c>
      <c r="B11" s="14" t="s">
        <v>21</v>
      </c>
      <c r="C11" s="19">
        <v>209531</v>
      </c>
      <c r="D11" s="57" t="s">
        <v>28</v>
      </c>
      <c r="E11" s="16"/>
      <c r="F11" s="22"/>
      <c r="G11" s="18"/>
      <c r="H11" s="249"/>
    </row>
    <row r="12" spans="1:8" ht="20" customHeight="1">
      <c r="A12" s="13" t="s">
        <v>57</v>
      </c>
      <c r="B12" s="14" t="s">
        <v>21</v>
      </c>
      <c r="C12" s="19">
        <v>220010080</v>
      </c>
      <c r="D12" s="110" t="s">
        <v>48</v>
      </c>
      <c r="E12" s="16"/>
      <c r="F12" s="17"/>
      <c r="G12" s="18"/>
      <c r="H12" s="249"/>
    </row>
    <row r="13" spans="1:8" ht="20" customHeight="1">
      <c r="A13" s="13" t="s">
        <v>57</v>
      </c>
      <c r="B13" s="14" t="s">
        <v>21</v>
      </c>
      <c r="C13" s="19">
        <v>220010080</v>
      </c>
      <c r="D13" s="110" t="s">
        <v>49</v>
      </c>
      <c r="E13" s="16"/>
      <c r="F13" s="17"/>
      <c r="G13" s="18"/>
      <c r="H13" s="249"/>
    </row>
    <row r="14" spans="1:8" s="6" customFormat="1" ht="20" customHeight="1">
      <c r="A14" s="13" t="s">
        <v>57</v>
      </c>
      <c r="B14" s="14" t="s">
        <v>21</v>
      </c>
      <c r="C14" s="19">
        <v>220010080</v>
      </c>
      <c r="D14" s="57" t="s">
        <v>212</v>
      </c>
      <c r="E14" s="15"/>
      <c r="F14" s="20"/>
      <c r="G14" s="18"/>
      <c r="H14" s="249"/>
    </row>
    <row r="15" spans="1:8" s="6" customFormat="1" ht="20" customHeight="1">
      <c r="A15" s="13" t="s">
        <v>57</v>
      </c>
      <c r="B15" s="14" t="s">
        <v>21</v>
      </c>
      <c r="C15" s="19">
        <v>220010080</v>
      </c>
      <c r="D15" s="57" t="s">
        <v>213</v>
      </c>
      <c r="E15" s="15"/>
      <c r="F15" s="20"/>
      <c r="G15" s="18"/>
      <c r="H15" s="249"/>
    </row>
    <row r="16" spans="1:8" s="6" customFormat="1" ht="20" customHeight="1">
      <c r="A16" s="13" t="s">
        <v>57</v>
      </c>
      <c r="B16" s="14" t="s">
        <v>21</v>
      </c>
      <c r="C16" s="19">
        <v>220010080</v>
      </c>
      <c r="D16" s="57" t="s">
        <v>211</v>
      </c>
      <c r="E16" s="15"/>
      <c r="F16" s="20"/>
      <c r="G16" s="18"/>
      <c r="H16" s="249"/>
    </row>
    <row r="17" spans="1:8" ht="20" customHeight="1">
      <c r="A17" s="13" t="s">
        <v>57</v>
      </c>
      <c r="B17" s="14" t="s">
        <v>21</v>
      </c>
      <c r="C17" s="19">
        <v>220010080</v>
      </c>
      <c r="D17" s="110" t="s">
        <v>35</v>
      </c>
      <c r="E17" s="16"/>
      <c r="F17" s="22"/>
      <c r="G17" s="18"/>
      <c r="H17" s="249"/>
    </row>
    <row r="18" spans="1:8" ht="20" customHeight="1">
      <c r="A18" s="13" t="s">
        <v>57</v>
      </c>
      <c r="B18" s="14" t="s">
        <v>21</v>
      </c>
      <c r="C18" s="19">
        <v>220010080</v>
      </c>
      <c r="D18" s="57" t="s">
        <v>30</v>
      </c>
      <c r="E18" s="16"/>
      <c r="F18" s="22"/>
      <c r="G18" s="18"/>
      <c r="H18" s="249"/>
    </row>
    <row r="19" spans="1:8" ht="20" customHeight="1">
      <c r="A19" s="13" t="s">
        <v>57</v>
      </c>
      <c r="B19" s="14" t="s">
        <v>21</v>
      </c>
      <c r="C19" s="19">
        <v>220010080</v>
      </c>
      <c r="D19" s="57" t="s">
        <v>28</v>
      </c>
      <c r="E19" s="16"/>
      <c r="F19" s="22"/>
      <c r="G19" s="18"/>
      <c r="H19" s="251"/>
    </row>
    <row r="20" spans="1:8" ht="20" customHeight="1">
      <c r="A20" s="13" t="s">
        <v>57</v>
      </c>
      <c r="B20" s="14" t="s">
        <v>7</v>
      </c>
      <c r="C20" s="91">
        <v>209698</v>
      </c>
      <c r="D20" s="57" t="s">
        <v>214</v>
      </c>
      <c r="E20" s="16"/>
      <c r="F20" s="22"/>
      <c r="G20" s="18"/>
      <c r="H20" s="248">
        <v>46203</v>
      </c>
    </row>
    <row r="21" spans="1:8" ht="20" customHeight="1">
      <c r="A21" s="13" t="s">
        <v>57</v>
      </c>
      <c r="B21" s="14" t="s">
        <v>7</v>
      </c>
      <c r="C21" s="91">
        <v>209698</v>
      </c>
      <c r="D21" s="57" t="s">
        <v>215</v>
      </c>
      <c r="E21" s="16"/>
      <c r="F21" s="22"/>
      <c r="G21" s="18"/>
      <c r="H21" s="249"/>
    </row>
    <row r="22" spans="1:8" ht="20" customHeight="1">
      <c r="A22" s="13" t="s">
        <v>57</v>
      </c>
      <c r="B22" s="14" t="s">
        <v>7</v>
      </c>
      <c r="C22" s="91">
        <v>209682</v>
      </c>
      <c r="D22" s="57" t="s">
        <v>216</v>
      </c>
      <c r="E22" s="16"/>
      <c r="F22" s="22"/>
      <c r="G22" s="18"/>
      <c r="H22" s="249"/>
    </row>
    <row r="23" spans="1:8" ht="20" customHeight="1">
      <c r="A23" s="13" t="s">
        <v>57</v>
      </c>
      <c r="B23" s="14" t="s">
        <v>7</v>
      </c>
      <c r="C23" s="91">
        <v>209682</v>
      </c>
      <c r="D23" s="57" t="s">
        <v>217</v>
      </c>
      <c r="E23" s="16"/>
      <c r="F23" s="22"/>
      <c r="G23" s="18"/>
      <c r="H23" s="249"/>
    </row>
    <row r="24" spans="1:8" ht="20" customHeight="1">
      <c r="A24" s="13" t="s">
        <v>57</v>
      </c>
      <c r="B24" s="14" t="s">
        <v>21</v>
      </c>
      <c r="C24" s="91">
        <v>220010087</v>
      </c>
      <c r="D24" s="57" t="s">
        <v>216</v>
      </c>
      <c r="E24" s="16"/>
      <c r="F24" s="22"/>
      <c r="G24" s="18"/>
      <c r="H24" s="249"/>
    </row>
    <row r="25" spans="1:8" ht="20" customHeight="1">
      <c r="A25" s="13" t="s">
        <v>57</v>
      </c>
      <c r="B25" s="14" t="s">
        <v>21</v>
      </c>
      <c r="C25" s="91">
        <v>220010087</v>
      </c>
      <c r="D25" s="57" t="s">
        <v>217</v>
      </c>
      <c r="E25" s="16"/>
      <c r="F25" s="22"/>
      <c r="G25" s="18"/>
      <c r="H25" s="250"/>
    </row>
    <row r="26" spans="1:8" ht="20" customHeight="1">
      <c r="A26" s="13" t="s">
        <v>9</v>
      </c>
      <c r="B26" s="14" t="s">
        <v>7</v>
      </c>
      <c r="C26" s="19">
        <v>210592</v>
      </c>
      <c r="D26" s="110" t="s">
        <v>48</v>
      </c>
      <c r="E26" s="16"/>
      <c r="F26" s="17"/>
      <c r="G26" s="18"/>
      <c r="H26" s="248">
        <v>46233</v>
      </c>
    </row>
    <row r="27" spans="1:8" ht="20" customHeight="1">
      <c r="A27" s="13" t="s">
        <v>9</v>
      </c>
      <c r="B27" s="14" t="s">
        <v>7</v>
      </c>
      <c r="C27" s="19">
        <v>210592</v>
      </c>
      <c r="D27" s="110" t="s">
        <v>49</v>
      </c>
      <c r="E27" s="16"/>
      <c r="F27" s="17"/>
      <c r="G27" s="18"/>
      <c r="H27" s="249"/>
    </row>
    <row r="28" spans="1:8" ht="20" customHeight="1">
      <c r="A28" s="13" t="s">
        <v>9</v>
      </c>
      <c r="B28" s="14" t="s">
        <v>7</v>
      </c>
      <c r="C28" s="19">
        <v>210592</v>
      </c>
      <c r="D28" s="110" t="s">
        <v>51</v>
      </c>
      <c r="E28" s="16"/>
      <c r="F28" s="17"/>
      <c r="G28" s="18"/>
      <c r="H28" s="249"/>
    </row>
    <row r="29" spans="1:8" ht="20" customHeight="1">
      <c r="A29" s="13" t="s">
        <v>9</v>
      </c>
      <c r="B29" s="14" t="s">
        <v>7</v>
      </c>
      <c r="C29" s="19">
        <v>210592</v>
      </c>
      <c r="D29" s="110" t="s">
        <v>218</v>
      </c>
      <c r="E29" s="16"/>
      <c r="F29" s="17"/>
      <c r="G29" s="18"/>
      <c r="H29" s="249"/>
    </row>
    <row r="30" spans="1:8" ht="20" customHeight="1">
      <c r="A30" s="13" t="s">
        <v>9</v>
      </c>
      <c r="B30" s="14" t="s">
        <v>7</v>
      </c>
      <c r="C30" s="19">
        <v>210592</v>
      </c>
      <c r="D30" s="57" t="s">
        <v>23</v>
      </c>
      <c r="E30" s="15"/>
      <c r="F30" s="20"/>
      <c r="G30" s="18"/>
      <c r="H30" s="249"/>
    </row>
    <row r="31" spans="1:8" ht="20" customHeight="1">
      <c r="A31" s="13" t="s">
        <v>9</v>
      </c>
      <c r="B31" s="14" t="s">
        <v>7</v>
      </c>
      <c r="C31" s="19">
        <v>210592</v>
      </c>
      <c r="D31" s="57" t="s">
        <v>50</v>
      </c>
      <c r="E31" s="15"/>
      <c r="F31" s="20"/>
      <c r="G31" s="18"/>
      <c r="H31" s="249"/>
    </row>
    <row r="32" spans="1:8" ht="20" customHeight="1">
      <c r="A32" s="13" t="s">
        <v>9</v>
      </c>
      <c r="B32" s="14" t="s">
        <v>7</v>
      </c>
      <c r="C32" s="19">
        <v>210592</v>
      </c>
      <c r="D32" s="110" t="s">
        <v>35</v>
      </c>
      <c r="E32" s="16"/>
      <c r="F32" s="17"/>
      <c r="G32" s="18"/>
      <c r="H32" s="249"/>
    </row>
    <row r="33" spans="1:8" ht="20" customHeight="1">
      <c r="A33" s="13" t="s">
        <v>9</v>
      </c>
      <c r="B33" s="14" t="s">
        <v>7</v>
      </c>
      <c r="C33" s="19">
        <v>210592</v>
      </c>
      <c r="D33" s="57" t="s">
        <v>28</v>
      </c>
      <c r="E33" s="16"/>
      <c r="F33" s="22"/>
      <c r="G33" s="18"/>
      <c r="H33" s="249"/>
    </row>
    <row r="34" spans="1:8" ht="20" customHeight="1">
      <c r="A34" s="13" t="s">
        <v>9</v>
      </c>
      <c r="B34" s="14" t="s">
        <v>7</v>
      </c>
      <c r="C34" s="19">
        <v>210592</v>
      </c>
      <c r="D34" s="57" t="s">
        <v>30</v>
      </c>
      <c r="E34" s="16"/>
      <c r="F34" s="22"/>
      <c r="G34" s="18"/>
      <c r="H34" s="249"/>
    </row>
    <row r="35" spans="1:8" ht="20" customHeight="1">
      <c r="A35" s="13" t="s">
        <v>9</v>
      </c>
      <c r="B35" s="14" t="s">
        <v>7</v>
      </c>
      <c r="C35" s="19">
        <v>210592</v>
      </c>
      <c r="D35" s="57" t="s">
        <v>41</v>
      </c>
      <c r="E35" s="16"/>
      <c r="F35" s="22"/>
      <c r="G35" s="18"/>
      <c r="H35" s="249"/>
    </row>
    <row r="36" spans="1:8" ht="20" customHeight="1">
      <c r="A36" s="13" t="s">
        <v>9</v>
      </c>
      <c r="B36" s="14" t="s">
        <v>7</v>
      </c>
      <c r="C36" s="19">
        <v>210592</v>
      </c>
      <c r="D36" s="57" t="s">
        <v>219</v>
      </c>
      <c r="E36" s="16"/>
      <c r="F36" s="22"/>
      <c r="G36" s="18"/>
      <c r="H36" s="249"/>
    </row>
    <row r="37" spans="1:8" ht="20" customHeight="1">
      <c r="A37" s="13" t="s">
        <v>9</v>
      </c>
      <c r="B37" s="14" t="s">
        <v>21</v>
      </c>
      <c r="C37" s="19">
        <v>220010110</v>
      </c>
      <c r="D37" s="110" t="s">
        <v>48</v>
      </c>
      <c r="E37" s="16"/>
      <c r="F37" s="17"/>
      <c r="G37" s="18"/>
      <c r="H37" s="249"/>
    </row>
    <row r="38" spans="1:8" ht="20" customHeight="1">
      <c r="A38" s="13" t="s">
        <v>9</v>
      </c>
      <c r="B38" s="14" t="s">
        <v>21</v>
      </c>
      <c r="C38" s="19">
        <v>220010110</v>
      </c>
      <c r="D38" s="110" t="s">
        <v>49</v>
      </c>
      <c r="E38" s="16"/>
      <c r="F38" s="17"/>
      <c r="G38" s="18"/>
      <c r="H38" s="249"/>
    </row>
    <row r="39" spans="1:8" ht="20" customHeight="1">
      <c r="A39" s="13" t="s">
        <v>9</v>
      </c>
      <c r="B39" s="14" t="s">
        <v>21</v>
      </c>
      <c r="C39" s="19">
        <v>220010110</v>
      </c>
      <c r="D39" s="110" t="s">
        <v>51</v>
      </c>
      <c r="E39" s="16"/>
      <c r="F39" s="17"/>
      <c r="G39" s="18"/>
      <c r="H39" s="249"/>
    </row>
    <row r="40" spans="1:8" ht="20" customHeight="1">
      <c r="A40" s="13" t="s">
        <v>9</v>
      </c>
      <c r="B40" s="14" t="s">
        <v>21</v>
      </c>
      <c r="C40" s="19">
        <v>220010110</v>
      </c>
      <c r="D40" s="57" t="s">
        <v>220</v>
      </c>
      <c r="E40" s="15"/>
      <c r="F40" s="20"/>
      <c r="G40" s="18"/>
      <c r="H40" s="249"/>
    </row>
    <row r="41" spans="1:8" ht="20" customHeight="1">
      <c r="A41" s="13" t="s">
        <v>9</v>
      </c>
      <c r="B41" s="14" t="s">
        <v>21</v>
      </c>
      <c r="C41" s="19">
        <v>220010110</v>
      </c>
      <c r="D41" s="57" t="s">
        <v>213</v>
      </c>
      <c r="E41" s="15"/>
      <c r="F41" s="20"/>
      <c r="G41" s="18"/>
      <c r="H41" s="249"/>
    </row>
    <row r="42" spans="1:8" ht="20" customHeight="1">
      <c r="A42" s="13" t="s">
        <v>9</v>
      </c>
      <c r="B42" s="14" t="s">
        <v>21</v>
      </c>
      <c r="C42" s="19">
        <v>220010110</v>
      </c>
      <c r="D42" s="110" t="s">
        <v>35</v>
      </c>
      <c r="E42" s="16"/>
      <c r="F42" s="17"/>
      <c r="G42" s="18"/>
      <c r="H42" s="249"/>
    </row>
    <row r="43" spans="1:8" ht="20" customHeight="1">
      <c r="A43" s="13" t="s">
        <v>9</v>
      </c>
      <c r="B43" s="14" t="s">
        <v>21</v>
      </c>
      <c r="C43" s="19">
        <v>220010110</v>
      </c>
      <c r="D43" s="57" t="s">
        <v>28</v>
      </c>
      <c r="E43" s="16"/>
      <c r="F43" s="22"/>
      <c r="G43" s="18"/>
      <c r="H43" s="249"/>
    </row>
    <row r="44" spans="1:8" ht="20" customHeight="1">
      <c r="A44" s="13" t="s">
        <v>9</v>
      </c>
      <c r="B44" s="14" t="s">
        <v>21</v>
      </c>
      <c r="C44" s="19">
        <v>220010110</v>
      </c>
      <c r="D44" s="57" t="s">
        <v>41</v>
      </c>
      <c r="E44" s="16"/>
      <c r="F44" s="22"/>
      <c r="G44" s="18"/>
      <c r="H44" s="250"/>
    </row>
    <row r="45" spans="1:8" ht="20" customHeight="1">
      <c r="A45" s="14" t="s">
        <v>15</v>
      </c>
      <c r="B45" s="14" t="s">
        <v>6</v>
      </c>
      <c r="C45" s="19">
        <v>220010116</v>
      </c>
      <c r="D45" s="57" t="s">
        <v>52</v>
      </c>
      <c r="E45" s="54"/>
      <c r="F45" s="24"/>
      <c r="G45" s="55"/>
      <c r="H45" s="248">
        <v>46233</v>
      </c>
    </row>
    <row r="46" spans="1:8" ht="20" customHeight="1">
      <c r="A46" s="14" t="s">
        <v>15</v>
      </c>
      <c r="B46" s="14" t="s">
        <v>6</v>
      </c>
      <c r="C46" s="19">
        <v>220010116</v>
      </c>
      <c r="D46" s="57" t="s">
        <v>53</v>
      </c>
      <c r="E46" s="54"/>
      <c r="F46" s="24"/>
      <c r="G46" s="55"/>
      <c r="H46" s="249"/>
    </row>
    <row r="47" spans="1:8" ht="20" customHeight="1">
      <c r="A47" s="14" t="s">
        <v>15</v>
      </c>
      <c r="B47" s="14" t="s">
        <v>6</v>
      </c>
      <c r="C47" s="19">
        <v>210612</v>
      </c>
      <c r="D47" s="57" t="s">
        <v>52</v>
      </c>
      <c r="E47" s="54"/>
      <c r="F47" s="24"/>
      <c r="G47" s="55"/>
      <c r="H47" s="249"/>
    </row>
    <row r="48" spans="1:8" ht="20" customHeight="1">
      <c r="A48" s="14" t="s">
        <v>15</v>
      </c>
      <c r="B48" s="14" t="s">
        <v>6</v>
      </c>
      <c r="C48" s="19">
        <v>210612</v>
      </c>
      <c r="D48" s="57" t="s">
        <v>53</v>
      </c>
      <c r="E48" s="54"/>
      <c r="F48" s="24"/>
      <c r="G48" s="55"/>
      <c r="H48" s="250"/>
    </row>
    <row r="49" spans="1:8" s="6" customFormat="1" ht="20" customHeight="1">
      <c r="A49" s="13" t="s">
        <v>58</v>
      </c>
      <c r="B49" s="14" t="s">
        <v>6</v>
      </c>
      <c r="C49" s="91">
        <v>210590</v>
      </c>
      <c r="D49" s="57" t="s">
        <v>65</v>
      </c>
      <c r="E49" s="21"/>
      <c r="F49" s="22"/>
      <c r="G49" s="18"/>
      <c r="H49" s="248">
        <v>46249</v>
      </c>
    </row>
    <row r="50" spans="1:8" s="6" customFormat="1" ht="20" customHeight="1">
      <c r="A50" s="13" t="s">
        <v>58</v>
      </c>
      <c r="B50" s="14" t="s">
        <v>6</v>
      </c>
      <c r="C50" s="91">
        <v>210590</v>
      </c>
      <c r="D50" s="57" t="s">
        <v>66</v>
      </c>
      <c r="E50" s="21"/>
      <c r="F50" s="22"/>
      <c r="G50" s="18"/>
      <c r="H50" s="249"/>
    </row>
    <row r="51" spans="1:8" s="6" customFormat="1" ht="20" customHeight="1">
      <c r="A51" s="13" t="s">
        <v>58</v>
      </c>
      <c r="B51" s="14" t="s">
        <v>6</v>
      </c>
      <c r="C51" s="91">
        <v>210590</v>
      </c>
      <c r="D51" s="57" t="s">
        <v>12</v>
      </c>
      <c r="E51" s="21"/>
      <c r="F51" s="22"/>
      <c r="G51" s="18"/>
      <c r="H51" s="249"/>
    </row>
    <row r="52" spans="1:8" s="6" customFormat="1" ht="20" customHeight="1">
      <c r="A52" s="13" t="s">
        <v>58</v>
      </c>
      <c r="B52" s="14" t="s">
        <v>6</v>
      </c>
      <c r="C52" s="91">
        <v>210590</v>
      </c>
      <c r="D52" s="57" t="s">
        <v>17</v>
      </c>
      <c r="E52" s="21"/>
      <c r="F52" s="22"/>
      <c r="G52" s="18"/>
      <c r="H52" s="249"/>
    </row>
    <row r="53" spans="1:8" s="6" customFormat="1" ht="20" customHeight="1">
      <c r="A53" s="13" t="s">
        <v>58</v>
      </c>
      <c r="B53" s="14" t="s">
        <v>6</v>
      </c>
      <c r="C53" s="91">
        <v>210590</v>
      </c>
      <c r="D53" s="57" t="s">
        <v>16</v>
      </c>
      <c r="E53" s="15"/>
      <c r="F53" s="22"/>
      <c r="G53" s="18"/>
      <c r="H53" s="249"/>
    </row>
    <row r="54" spans="1:8" s="6" customFormat="1" ht="20" customHeight="1">
      <c r="A54" s="13" t="s">
        <v>58</v>
      </c>
      <c r="B54" s="14" t="s">
        <v>6</v>
      </c>
      <c r="C54" s="91">
        <v>210590</v>
      </c>
      <c r="D54" s="57" t="s">
        <v>18</v>
      </c>
      <c r="E54" s="12"/>
      <c r="F54" s="22"/>
      <c r="G54" s="18"/>
      <c r="H54" s="249"/>
    </row>
    <row r="55" spans="1:8" s="6" customFormat="1" ht="20" customHeight="1">
      <c r="A55" s="13" t="s">
        <v>58</v>
      </c>
      <c r="B55" s="14" t="s">
        <v>6</v>
      </c>
      <c r="C55" s="91">
        <v>210590</v>
      </c>
      <c r="D55" s="57" t="s">
        <v>14</v>
      </c>
      <c r="E55" s="16"/>
      <c r="F55" s="22"/>
      <c r="G55" s="18"/>
      <c r="H55" s="249"/>
    </row>
    <row r="56" spans="1:8" s="6" customFormat="1" ht="20" customHeight="1">
      <c r="A56" s="13" t="s">
        <v>58</v>
      </c>
      <c r="B56" s="14" t="s">
        <v>6</v>
      </c>
      <c r="C56" s="91">
        <v>210590</v>
      </c>
      <c r="D56" s="57" t="s">
        <v>27</v>
      </c>
      <c r="E56" s="16"/>
      <c r="F56" s="22"/>
      <c r="G56" s="18"/>
      <c r="H56" s="249"/>
    </row>
    <row r="57" spans="1:8" s="6" customFormat="1" ht="20" customHeight="1">
      <c r="A57" s="13" t="s">
        <v>58</v>
      </c>
      <c r="B57" s="14" t="s">
        <v>6</v>
      </c>
      <c r="C57" s="91">
        <v>210590</v>
      </c>
      <c r="D57" s="57" t="s">
        <v>4</v>
      </c>
      <c r="E57" s="15"/>
      <c r="F57" s="20"/>
      <c r="G57" s="18"/>
      <c r="H57" s="249"/>
    </row>
    <row r="58" spans="1:8" s="6" customFormat="1" ht="20" customHeight="1">
      <c r="A58" s="13" t="s">
        <v>58</v>
      </c>
      <c r="B58" s="14" t="s">
        <v>20</v>
      </c>
      <c r="C58" s="91">
        <v>220010109</v>
      </c>
      <c r="D58" s="57" t="s">
        <v>66</v>
      </c>
      <c r="E58" s="21"/>
      <c r="F58" s="22"/>
      <c r="G58" s="18"/>
      <c r="H58" s="249"/>
    </row>
    <row r="59" spans="1:8" s="6" customFormat="1" ht="20" customHeight="1">
      <c r="A59" s="13" t="s">
        <v>58</v>
      </c>
      <c r="B59" s="14" t="s">
        <v>20</v>
      </c>
      <c r="C59" s="91">
        <v>220010109</v>
      </c>
      <c r="D59" s="57" t="s">
        <v>12</v>
      </c>
      <c r="E59" s="21"/>
      <c r="F59" s="22"/>
      <c r="G59" s="18"/>
      <c r="H59" s="249"/>
    </row>
    <row r="60" spans="1:8" s="6" customFormat="1" ht="20" customHeight="1">
      <c r="A60" s="13" t="s">
        <v>58</v>
      </c>
      <c r="B60" s="14" t="s">
        <v>20</v>
      </c>
      <c r="C60" s="91">
        <v>220010109</v>
      </c>
      <c r="D60" s="57" t="s">
        <v>17</v>
      </c>
      <c r="E60" s="21"/>
      <c r="F60" s="22"/>
      <c r="G60" s="18"/>
      <c r="H60" s="249"/>
    </row>
    <row r="61" spans="1:8" s="6" customFormat="1" ht="20" customHeight="1">
      <c r="A61" s="13" t="s">
        <v>58</v>
      </c>
      <c r="B61" s="14" t="s">
        <v>20</v>
      </c>
      <c r="C61" s="91">
        <v>220010109</v>
      </c>
      <c r="D61" s="57" t="s">
        <v>16</v>
      </c>
      <c r="E61" s="15"/>
      <c r="F61" s="22"/>
      <c r="G61" s="18"/>
      <c r="H61" s="249"/>
    </row>
    <row r="62" spans="1:8" s="6" customFormat="1" ht="20" customHeight="1">
      <c r="A62" s="13" t="s">
        <v>58</v>
      </c>
      <c r="B62" s="14" t="s">
        <v>20</v>
      </c>
      <c r="C62" s="91">
        <v>220010109</v>
      </c>
      <c r="D62" s="57" t="s">
        <v>18</v>
      </c>
      <c r="E62" s="12"/>
      <c r="F62" s="22"/>
      <c r="G62" s="18"/>
      <c r="H62" s="249"/>
    </row>
    <row r="63" spans="1:8" s="6" customFormat="1" ht="20" customHeight="1">
      <c r="A63" s="13" t="s">
        <v>58</v>
      </c>
      <c r="B63" s="14" t="s">
        <v>20</v>
      </c>
      <c r="C63" s="91">
        <v>220010109</v>
      </c>
      <c r="D63" s="57" t="s">
        <v>14</v>
      </c>
      <c r="E63" s="16"/>
      <c r="F63" s="22"/>
      <c r="G63" s="18"/>
      <c r="H63" s="249"/>
    </row>
    <row r="64" spans="1:8" s="6" customFormat="1" ht="20" customHeight="1">
      <c r="A64" s="13" t="s">
        <v>58</v>
      </c>
      <c r="B64" s="14" t="s">
        <v>20</v>
      </c>
      <c r="C64" s="91">
        <v>220010109</v>
      </c>
      <c r="D64" s="57" t="s">
        <v>27</v>
      </c>
      <c r="E64" s="16"/>
      <c r="F64" s="22"/>
      <c r="G64" s="18"/>
      <c r="H64" s="250"/>
    </row>
    <row r="65" spans="1:8" ht="20" customHeight="1">
      <c r="A65" s="14" t="s">
        <v>15</v>
      </c>
      <c r="B65" s="14" t="s">
        <v>20</v>
      </c>
      <c r="C65" s="91">
        <v>220010132</v>
      </c>
      <c r="D65" s="112" t="s">
        <v>78</v>
      </c>
      <c r="E65" s="25"/>
      <c r="F65" s="24"/>
      <c r="G65" s="18"/>
      <c r="H65" s="259">
        <v>46249</v>
      </c>
    </row>
    <row r="66" spans="1:8" ht="20" customHeight="1">
      <c r="A66" s="14" t="s">
        <v>15</v>
      </c>
      <c r="B66" s="14" t="s">
        <v>20</v>
      </c>
      <c r="C66" s="91">
        <v>220010132</v>
      </c>
      <c r="D66" s="112" t="s">
        <v>79</v>
      </c>
      <c r="E66" s="25"/>
      <c r="F66" s="24"/>
      <c r="G66" s="18"/>
      <c r="H66" s="260"/>
    </row>
    <row r="67" spans="1:8" ht="20" customHeight="1">
      <c r="A67" s="13" t="s">
        <v>58</v>
      </c>
      <c r="B67" s="14" t="s">
        <v>20</v>
      </c>
      <c r="C67" s="91">
        <v>220010132</v>
      </c>
      <c r="D67" s="112" t="s">
        <v>80</v>
      </c>
      <c r="E67" s="25"/>
      <c r="F67" s="24"/>
      <c r="G67" s="18"/>
      <c r="H67" s="259">
        <v>46249</v>
      </c>
    </row>
    <row r="68" spans="1:8" ht="20" customHeight="1">
      <c r="A68" s="13" t="s">
        <v>58</v>
      </c>
      <c r="B68" s="14" t="s">
        <v>20</v>
      </c>
      <c r="C68" s="91">
        <v>220010132</v>
      </c>
      <c r="D68" s="112" t="s">
        <v>81</v>
      </c>
      <c r="E68" s="25"/>
      <c r="F68" s="24"/>
      <c r="G68" s="18"/>
      <c r="H68" s="261"/>
    </row>
    <row r="69" spans="1:8" ht="20" customHeight="1">
      <c r="A69" s="13" t="s">
        <v>58</v>
      </c>
      <c r="B69" s="14" t="s">
        <v>20</v>
      </c>
      <c r="C69" s="91">
        <v>220010132</v>
      </c>
      <c r="D69" s="112" t="s">
        <v>82</v>
      </c>
      <c r="E69" s="25"/>
      <c r="F69" s="24"/>
      <c r="G69" s="18"/>
      <c r="H69" s="261"/>
    </row>
    <row r="70" spans="1:8" ht="20" customHeight="1">
      <c r="A70" s="13" t="s">
        <v>58</v>
      </c>
      <c r="B70" s="14" t="s">
        <v>20</v>
      </c>
      <c r="C70" s="91">
        <v>220010132</v>
      </c>
      <c r="D70" s="112" t="s">
        <v>83</v>
      </c>
      <c r="E70" s="25"/>
      <c r="F70" s="24"/>
      <c r="G70" s="18"/>
      <c r="H70" s="261"/>
    </row>
    <row r="71" spans="1:8" ht="20" customHeight="1">
      <c r="A71" s="13" t="s">
        <v>58</v>
      </c>
      <c r="B71" s="14" t="s">
        <v>20</v>
      </c>
      <c r="C71" s="91">
        <v>220010132</v>
      </c>
      <c r="D71" s="112" t="s">
        <v>84</v>
      </c>
      <c r="E71" s="25"/>
      <c r="F71" s="24"/>
      <c r="G71" s="18"/>
      <c r="H71" s="261"/>
    </row>
    <row r="72" spans="1:8" ht="20" customHeight="1">
      <c r="A72" s="13" t="s">
        <v>58</v>
      </c>
      <c r="B72" s="14" t="s">
        <v>20</v>
      </c>
      <c r="C72" s="92" t="s">
        <v>88</v>
      </c>
      <c r="D72" s="112" t="s">
        <v>85</v>
      </c>
      <c r="E72" s="25"/>
      <c r="F72" s="24"/>
      <c r="G72" s="18"/>
      <c r="H72" s="261"/>
    </row>
    <row r="73" spans="1:8" ht="20" customHeight="1">
      <c r="A73" s="13" t="s">
        <v>58</v>
      </c>
      <c r="B73" s="14" t="s">
        <v>20</v>
      </c>
      <c r="C73" s="92" t="s">
        <v>88</v>
      </c>
      <c r="D73" s="112" t="s">
        <v>86</v>
      </c>
      <c r="E73" s="25"/>
      <c r="F73" s="24"/>
      <c r="G73" s="18"/>
      <c r="H73" s="261"/>
    </row>
    <row r="74" spans="1:8" ht="20" customHeight="1">
      <c r="A74" s="13" t="s">
        <v>58</v>
      </c>
      <c r="B74" s="14" t="s">
        <v>20</v>
      </c>
      <c r="C74" s="92" t="s">
        <v>88</v>
      </c>
      <c r="D74" s="112" t="s">
        <v>87</v>
      </c>
      <c r="E74" s="25"/>
      <c r="F74" s="24"/>
      <c r="G74" s="18"/>
      <c r="H74" s="260"/>
    </row>
    <row r="75" spans="1:8" ht="20" customHeight="1">
      <c r="A75" s="14" t="s">
        <v>15</v>
      </c>
      <c r="B75" s="14" t="s">
        <v>6</v>
      </c>
      <c r="C75" s="91">
        <v>211383</v>
      </c>
      <c r="D75" s="112" t="s">
        <v>78</v>
      </c>
      <c r="E75" s="25"/>
      <c r="F75" s="24"/>
      <c r="G75" s="18"/>
      <c r="H75" s="257">
        <v>46295</v>
      </c>
    </row>
    <row r="76" spans="1:8" ht="20" customHeight="1">
      <c r="A76" s="14" t="s">
        <v>15</v>
      </c>
      <c r="B76" s="14" t="s">
        <v>6</v>
      </c>
      <c r="C76" s="91">
        <v>211383</v>
      </c>
      <c r="D76" s="112" t="s">
        <v>79</v>
      </c>
      <c r="E76" s="25"/>
      <c r="F76" s="24"/>
      <c r="G76" s="18"/>
      <c r="H76" s="258"/>
    </row>
    <row r="77" spans="1:8" ht="20" customHeight="1">
      <c r="A77" s="13" t="s">
        <v>58</v>
      </c>
      <c r="B77" s="14" t="s">
        <v>6</v>
      </c>
      <c r="C77" s="91">
        <v>211383</v>
      </c>
      <c r="D77" s="112" t="s">
        <v>80</v>
      </c>
      <c r="E77" s="25"/>
      <c r="F77" s="24"/>
      <c r="G77" s="18"/>
      <c r="H77" s="257">
        <v>46295</v>
      </c>
    </row>
    <row r="78" spans="1:8" ht="20" customHeight="1">
      <c r="A78" s="13" t="s">
        <v>58</v>
      </c>
      <c r="B78" s="14" t="s">
        <v>6</v>
      </c>
      <c r="C78" s="91">
        <v>211383</v>
      </c>
      <c r="D78" s="112" t="s">
        <v>81</v>
      </c>
      <c r="E78" s="25"/>
      <c r="F78" s="24"/>
      <c r="G78" s="18"/>
      <c r="H78" s="258"/>
    </row>
    <row r="79" spans="1:8" ht="20" customHeight="1">
      <c r="A79" s="13" t="s">
        <v>58</v>
      </c>
      <c r="B79" s="14" t="s">
        <v>6</v>
      </c>
      <c r="C79" s="91">
        <v>211383</v>
      </c>
      <c r="D79" s="112" t="s">
        <v>82</v>
      </c>
      <c r="E79" s="25"/>
      <c r="F79" s="24"/>
      <c r="G79" s="18"/>
      <c r="H79" s="258"/>
    </row>
    <row r="80" spans="1:8" ht="20" customHeight="1">
      <c r="A80" s="13" t="s">
        <v>58</v>
      </c>
      <c r="B80" s="14" t="s">
        <v>6</v>
      </c>
      <c r="C80" s="91">
        <v>211383</v>
      </c>
      <c r="D80" s="112" t="s">
        <v>83</v>
      </c>
      <c r="E80" s="25"/>
      <c r="F80" s="24"/>
      <c r="G80" s="18"/>
      <c r="H80" s="258"/>
    </row>
    <row r="81" spans="1:8" ht="20" customHeight="1">
      <c r="A81" s="13" t="s">
        <v>58</v>
      </c>
      <c r="B81" s="14" t="s">
        <v>6</v>
      </c>
      <c r="C81" s="91">
        <v>211383</v>
      </c>
      <c r="D81" s="57" t="s">
        <v>18</v>
      </c>
      <c r="E81" s="12"/>
      <c r="F81" s="22"/>
      <c r="G81" s="18"/>
      <c r="H81" s="258"/>
    </row>
    <row r="82" spans="1:8" ht="20" customHeight="1">
      <c r="A82" s="13" t="s">
        <v>58</v>
      </c>
      <c r="B82" s="14" t="s">
        <v>6</v>
      </c>
      <c r="C82" s="91">
        <v>211383</v>
      </c>
      <c r="D82" s="57" t="s">
        <v>19</v>
      </c>
      <c r="E82" s="12"/>
      <c r="F82" s="23"/>
      <c r="G82" s="18"/>
      <c r="H82" s="258"/>
    </row>
    <row r="83" spans="1:8" ht="20" customHeight="1">
      <c r="A83" s="13" t="s">
        <v>58</v>
      </c>
      <c r="B83" s="14" t="s">
        <v>6</v>
      </c>
      <c r="C83" s="91">
        <v>220010163</v>
      </c>
      <c r="D83" s="112" t="s">
        <v>82</v>
      </c>
      <c r="E83" s="25"/>
      <c r="F83" s="24"/>
      <c r="G83" s="18"/>
      <c r="H83" s="258"/>
    </row>
    <row r="84" spans="1:8" ht="20" customHeight="1">
      <c r="A84" s="13" t="s">
        <v>58</v>
      </c>
      <c r="B84" s="14" t="s">
        <v>6</v>
      </c>
      <c r="C84" s="91">
        <v>220010163</v>
      </c>
      <c r="D84" s="57" t="s">
        <v>18</v>
      </c>
      <c r="E84" s="12"/>
      <c r="F84" s="22"/>
      <c r="G84" s="18"/>
      <c r="H84" s="258"/>
    </row>
    <row r="85" spans="1:8" ht="20" customHeight="1">
      <c r="A85" s="13" t="s">
        <v>103</v>
      </c>
      <c r="B85" s="14" t="s">
        <v>6</v>
      </c>
      <c r="C85" s="91">
        <v>211383</v>
      </c>
      <c r="D85" s="112" t="s">
        <v>95</v>
      </c>
      <c r="E85" s="25"/>
      <c r="F85" s="24"/>
      <c r="G85" s="18"/>
      <c r="H85" s="248">
        <v>46295</v>
      </c>
    </row>
    <row r="86" spans="1:8" ht="20" customHeight="1">
      <c r="A86" s="13" t="s">
        <v>103</v>
      </c>
      <c r="B86" s="14" t="s">
        <v>6</v>
      </c>
      <c r="C86" s="91">
        <v>211383</v>
      </c>
      <c r="D86" s="112" t="s">
        <v>96</v>
      </c>
      <c r="E86" s="25"/>
      <c r="F86" s="24"/>
      <c r="G86" s="18"/>
      <c r="H86" s="250"/>
    </row>
    <row r="87" spans="1:8" ht="20" customHeight="1">
      <c r="A87" s="13" t="s">
        <v>57</v>
      </c>
      <c r="B87" s="14" t="s">
        <v>7</v>
      </c>
      <c r="C87" s="92">
        <v>211355</v>
      </c>
      <c r="D87" s="110" t="s">
        <v>48</v>
      </c>
      <c r="E87" s="16"/>
      <c r="F87" s="17"/>
      <c r="G87" s="18"/>
      <c r="H87" s="256">
        <v>46295</v>
      </c>
    </row>
    <row r="88" spans="1:8" ht="20" customHeight="1">
      <c r="A88" s="13" t="s">
        <v>57</v>
      </c>
      <c r="B88" s="14" t="s">
        <v>7</v>
      </c>
      <c r="C88" s="92">
        <v>211355</v>
      </c>
      <c r="D88" s="110" t="s">
        <v>49</v>
      </c>
      <c r="E88" s="16"/>
      <c r="F88" s="17"/>
      <c r="G88" s="18"/>
      <c r="H88" s="256"/>
    </row>
    <row r="89" spans="1:8" ht="20" customHeight="1">
      <c r="A89" s="13" t="s">
        <v>57</v>
      </c>
      <c r="B89" s="14" t="s">
        <v>7</v>
      </c>
      <c r="C89" s="92">
        <v>211355</v>
      </c>
      <c r="D89" s="57" t="s">
        <v>23</v>
      </c>
      <c r="E89" s="15"/>
      <c r="F89" s="20"/>
      <c r="G89" s="18"/>
      <c r="H89" s="256"/>
    </row>
    <row r="90" spans="1:8" s="6" customFormat="1" ht="20" customHeight="1">
      <c r="A90" s="13" t="s">
        <v>57</v>
      </c>
      <c r="B90" s="14" t="s">
        <v>7</v>
      </c>
      <c r="C90" s="92">
        <v>211355</v>
      </c>
      <c r="D90" s="57" t="s">
        <v>50</v>
      </c>
      <c r="E90" s="15"/>
      <c r="F90" s="20"/>
      <c r="G90" s="18"/>
      <c r="H90" s="256"/>
    </row>
    <row r="91" spans="1:8" s="6" customFormat="1" ht="20" customHeight="1">
      <c r="A91" s="13" t="s">
        <v>57</v>
      </c>
      <c r="B91" s="14" t="s">
        <v>7</v>
      </c>
      <c r="C91" s="92">
        <v>211355</v>
      </c>
      <c r="D91" s="57" t="s">
        <v>97</v>
      </c>
      <c r="E91" s="15"/>
      <c r="F91" s="20"/>
      <c r="G91" s="18"/>
      <c r="H91" s="256"/>
    </row>
    <row r="92" spans="1:8" s="6" customFormat="1" ht="20" customHeight="1">
      <c r="A92" s="13" t="s">
        <v>57</v>
      </c>
      <c r="B92" s="14" t="s">
        <v>7</v>
      </c>
      <c r="C92" s="92">
        <v>211355</v>
      </c>
      <c r="D92" s="57" t="s">
        <v>98</v>
      </c>
      <c r="E92" s="15"/>
      <c r="F92" s="20"/>
      <c r="G92" s="18"/>
      <c r="H92" s="256"/>
    </row>
    <row r="93" spans="1:8" s="6" customFormat="1" ht="20" customHeight="1">
      <c r="A93" s="13" t="s">
        <v>57</v>
      </c>
      <c r="B93" s="14" t="s">
        <v>7</v>
      </c>
      <c r="C93" s="92">
        <v>211355</v>
      </c>
      <c r="D93" s="57" t="s">
        <v>99</v>
      </c>
      <c r="E93" s="15"/>
      <c r="F93" s="20"/>
      <c r="G93" s="18"/>
      <c r="H93" s="256"/>
    </row>
    <row r="94" spans="1:8" s="6" customFormat="1" ht="20" customHeight="1">
      <c r="A94" s="13" t="s">
        <v>57</v>
      </c>
      <c r="B94" s="14" t="s">
        <v>7</v>
      </c>
      <c r="C94" s="92">
        <v>211355</v>
      </c>
      <c r="D94" s="57" t="s">
        <v>100</v>
      </c>
      <c r="E94" s="15"/>
      <c r="F94" s="20"/>
      <c r="G94" s="18"/>
      <c r="H94" s="256"/>
    </row>
    <row r="95" spans="1:8" s="6" customFormat="1" ht="20" customHeight="1">
      <c r="A95" s="13" t="s">
        <v>57</v>
      </c>
      <c r="B95" s="14" t="s">
        <v>7</v>
      </c>
      <c r="C95" s="92">
        <v>211355</v>
      </c>
      <c r="D95" s="57" t="s">
        <v>36</v>
      </c>
      <c r="E95" s="15"/>
      <c r="F95" s="20"/>
      <c r="G95" s="18"/>
      <c r="H95" s="256"/>
    </row>
    <row r="96" spans="1:8" ht="20" customHeight="1">
      <c r="A96" s="13" t="s">
        <v>57</v>
      </c>
      <c r="B96" s="14" t="s">
        <v>21</v>
      </c>
      <c r="C96" s="92">
        <v>220010159</v>
      </c>
      <c r="D96" s="110" t="s">
        <v>48</v>
      </c>
      <c r="E96" s="16"/>
      <c r="F96" s="17"/>
      <c r="G96" s="18"/>
      <c r="H96" s="256"/>
    </row>
    <row r="97" spans="1:8" ht="20" customHeight="1">
      <c r="A97" s="13" t="s">
        <v>57</v>
      </c>
      <c r="B97" s="14" t="s">
        <v>21</v>
      </c>
      <c r="C97" s="92">
        <v>220010159</v>
      </c>
      <c r="D97" s="110" t="s">
        <v>49</v>
      </c>
      <c r="E97" s="16"/>
      <c r="F97" s="17"/>
      <c r="G97" s="18"/>
      <c r="H97" s="256"/>
    </row>
    <row r="98" spans="1:8" s="6" customFormat="1" ht="20" customHeight="1">
      <c r="A98" s="13" t="s">
        <v>57</v>
      </c>
      <c r="B98" s="14" t="s">
        <v>21</v>
      </c>
      <c r="C98" s="92">
        <v>220010159</v>
      </c>
      <c r="D98" s="57" t="s">
        <v>50</v>
      </c>
      <c r="E98" s="15"/>
      <c r="F98" s="20"/>
      <c r="G98" s="18"/>
      <c r="H98" s="256"/>
    </row>
    <row r="99" spans="1:8" s="6" customFormat="1" ht="20" customHeight="1">
      <c r="A99" s="13" t="s">
        <v>57</v>
      </c>
      <c r="B99" s="14" t="s">
        <v>21</v>
      </c>
      <c r="C99" s="92">
        <v>220010159</v>
      </c>
      <c r="D99" s="57" t="s">
        <v>98</v>
      </c>
      <c r="E99" s="15"/>
      <c r="F99" s="20"/>
      <c r="G99" s="18"/>
      <c r="H99" s="256"/>
    </row>
    <row r="100" spans="1:8" s="6" customFormat="1" ht="20" customHeight="1">
      <c r="A100" s="13" t="s">
        <v>57</v>
      </c>
      <c r="B100" s="14" t="s">
        <v>21</v>
      </c>
      <c r="C100" s="92">
        <v>220010159</v>
      </c>
      <c r="D100" s="57" t="s">
        <v>99</v>
      </c>
      <c r="E100" s="15"/>
      <c r="F100" s="20"/>
      <c r="G100" s="18"/>
      <c r="H100" s="256"/>
    </row>
    <row r="101" spans="1:8" s="6" customFormat="1" ht="20" customHeight="1">
      <c r="A101" s="13" t="s">
        <v>57</v>
      </c>
      <c r="B101" s="14" t="s">
        <v>21</v>
      </c>
      <c r="C101" s="92">
        <v>220010159</v>
      </c>
      <c r="D101" s="57" t="s">
        <v>100</v>
      </c>
      <c r="E101" s="15"/>
      <c r="F101" s="20"/>
      <c r="G101" s="18"/>
      <c r="H101" s="256"/>
    </row>
    <row r="102" spans="1:8" s="6" customFormat="1" ht="20" customHeight="1">
      <c r="A102" s="13" t="s">
        <v>57</v>
      </c>
      <c r="B102" s="14" t="s">
        <v>21</v>
      </c>
      <c r="C102" s="92">
        <v>220010159</v>
      </c>
      <c r="D102" s="57" t="s">
        <v>36</v>
      </c>
      <c r="E102" s="15"/>
      <c r="F102" s="20"/>
      <c r="G102" s="18"/>
      <c r="H102" s="256"/>
    </row>
    <row r="103" spans="1:8" s="6" customFormat="1" ht="20" customHeight="1">
      <c r="A103" s="13" t="s">
        <v>57</v>
      </c>
      <c r="B103" s="14" t="s">
        <v>101</v>
      </c>
      <c r="C103" s="92">
        <v>230010711</v>
      </c>
      <c r="D103" s="57" t="s">
        <v>102</v>
      </c>
      <c r="E103" s="15"/>
      <c r="F103" s="20"/>
      <c r="G103" s="18"/>
      <c r="H103" s="113">
        <v>46295</v>
      </c>
    </row>
    <row r="104" spans="1:8" s="6" customFormat="1" ht="20" customHeight="1">
      <c r="A104" s="114" t="s">
        <v>156</v>
      </c>
      <c r="B104" s="115" t="s">
        <v>101</v>
      </c>
      <c r="C104" s="116" t="s">
        <v>157</v>
      </c>
      <c r="D104" s="117" t="s">
        <v>152</v>
      </c>
      <c r="E104" s="118"/>
      <c r="F104" s="119"/>
      <c r="G104" s="120"/>
      <c r="H104" s="252" t="s">
        <v>221</v>
      </c>
    </row>
    <row r="105" spans="1:8" s="6" customFormat="1" ht="20" customHeight="1">
      <c r="A105" s="114" t="s">
        <v>156</v>
      </c>
      <c r="B105" s="115" t="s">
        <v>101</v>
      </c>
      <c r="C105" s="116" t="s">
        <v>158</v>
      </c>
      <c r="D105" s="117" t="s">
        <v>153</v>
      </c>
      <c r="E105" s="118"/>
      <c r="F105" s="119"/>
      <c r="G105" s="120"/>
      <c r="H105" s="252"/>
    </row>
    <row r="106" spans="1:8" s="6" customFormat="1" ht="20" customHeight="1">
      <c r="A106" s="114" t="s">
        <v>156</v>
      </c>
      <c r="B106" s="115" t="s">
        <v>101</v>
      </c>
      <c r="C106" s="116" t="s">
        <v>159</v>
      </c>
      <c r="D106" s="117" t="s">
        <v>154</v>
      </c>
      <c r="E106" s="118"/>
      <c r="F106" s="119"/>
      <c r="G106" s="120"/>
      <c r="H106" s="252"/>
    </row>
    <row r="107" spans="1:8" s="6" customFormat="1" ht="20" customHeight="1">
      <c r="A107" s="114" t="s">
        <v>156</v>
      </c>
      <c r="B107" s="115" t="s">
        <v>101</v>
      </c>
      <c r="C107" s="116" t="s">
        <v>160</v>
      </c>
      <c r="D107" s="117" t="s">
        <v>155</v>
      </c>
      <c r="E107" s="118"/>
      <c r="F107" s="119"/>
      <c r="G107" s="120"/>
      <c r="H107" s="252"/>
    </row>
    <row r="108" spans="1:8" s="6" customFormat="1" ht="20" customHeight="1">
      <c r="A108" s="114" t="s">
        <v>58</v>
      </c>
      <c r="B108" s="115" t="s">
        <v>6</v>
      </c>
      <c r="C108" s="116">
        <v>212141</v>
      </c>
      <c r="D108" s="117" t="s">
        <v>206</v>
      </c>
      <c r="E108" s="118"/>
      <c r="F108" s="119"/>
      <c r="G108" s="120"/>
      <c r="H108" s="253" t="s">
        <v>221</v>
      </c>
    </row>
    <row r="109" spans="1:8" s="6" customFormat="1" ht="20" customHeight="1">
      <c r="A109" s="114" t="s">
        <v>58</v>
      </c>
      <c r="B109" s="115" t="s">
        <v>6</v>
      </c>
      <c r="C109" s="116">
        <v>212141</v>
      </c>
      <c r="D109" s="117" t="s">
        <v>206</v>
      </c>
      <c r="E109" s="118"/>
      <c r="F109" s="119"/>
      <c r="G109" s="120"/>
      <c r="H109" s="254"/>
    </row>
    <row r="110" spans="1:8" s="6" customFormat="1" ht="20" customHeight="1">
      <c r="A110" s="114" t="s">
        <v>58</v>
      </c>
      <c r="B110" s="115" t="s">
        <v>6</v>
      </c>
      <c r="C110" s="116">
        <v>212141</v>
      </c>
      <c r="D110" s="117" t="s">
        <v>207</v>
      </c>
      <c r="E110" s="118"/>
      <c r="F110" s="119"/>
      <c r="G110" s="120"/>
      <c r="H110" s="254"/>
    </row>
    <row r="111" spans="1:8" s="6" customFormat="1" ht="20" customHeight="1">
      <c r="A111" s="114" t="s">
        <v>58</v>
      </c>
      <c r="B111" s="115" t="s">
        <v>6</v>
      </c>
      <c r="C111" s="116">
        <v>212141</v>
      </c>
      <c r="D111" s="121" t="s">
        <v>80</v>
      </c>
      <c r="E111" s="118"/>
      <c r="F111" s="119"/>
      <c r="G111" s="120"/>
      <c r="H111" s="254"/>
    </row>
    <row r="112" spans="1:8" s="6" customFormat="1" ht="20" customHeight="1">
      <c r="A112" s="114" t="s">
        <v>58</v>
      </c>
      <c r="B112" s="115" t="s">
        <v>6</v>
      </c>
      <c r="C112" s="116">
        <v>212141</v>
      </c>
      <c r="D112" s="121" t="s">
        <v>81</v>
      </c>
      <c r="E112" s="118"/>
      <c r="F112" s="119"/>
      <c r="G112" s="120"/>
      <c r="H112" s="255"/>
    </row>
    <row r="113" spans="1:8" s="7" customFormat="1" ht="20" customHeight="1">
      <c r="A113" s="94" t="s">
        <v>57</v>
      </c>
      <c r="B113" s="94" t="s">
        <v>7</v>
      </c>
      <c r="C113" s="95">
        <v>206872</v>
      </c>
      <c r="D113" s="111" t="s">
        <v>59</v>
      </c>
      <c r="E113" s="96"/>
      <c r="F113" s="97"/>
      <c r="G113" s="98"/>
      <c r="H113" s="245" t="s">
        <v>209</v>
      </c>
    </row>
    <row r="114" spans="1:8" s="7" customFormat="1" ht="20" customHeight="1">
      <c r="A114" s="94" t="s">
        <v>57</v>
      </c>
      <c r="B114" s="94" t="s">
        <v>7</v>
      </c>
      <c r="C114" s="95">
        <v>206872</v>
      </c>
      <c r="D114" s="99" t="s">
        <v>44</v>
      </c>
      <c r="E114" s="100"/>
      <c r="F114" s="101"/>
      <c r="G114" s="98"/>
      <c r="H114" s="246"/>
    </row>
    <row r="115" spans="1:8" s="6" customFormat="1" ht="20" customHeight="1">
      <c r="A115" s="102" t="s">
        <v>57</v>
      </c>
      <c r="B115" s="94" t="s">
        <v>7</v>
      </c>
      <c r="C115" s="95">
        <v>206872</v>
      </c>
      <c r="D115" s="99" t="s">
        <v>50</v>
      </c>
      <c r="E115" s="100"/>
      <c r="F115" s="97"/>
      <c r="G115" s="103"/>
      <c r="H115" s="246"/>
    </row>
    <row r="116" spans="1:8" ht="20" customHeight="1">
      <c r="A116" s="102" t="s">
        <v>57</v>
      </c>
      <c r="B116" s="94" t="s">
        <v>7</v>
      </c>
      <c r="C116" s="95">
        <v>206872</v>
      </c>
      <c r="D116" s="99" t="s">
        <v>28</v>
      </c>
      <c r="E116" s="104"/>
      <c r="F116" s="105"/>
      <c r="G116" s="103"/>
      <c r="H116" s="246"/>
    </row>
    <row r="117" spans="1:8" s="7" customFormat="1" ht="20" customHeight="1">
      <c r="A117" s="94" t="s">
        <v>57</v>
      </c>
      <c r="B117" s="94" t="s">
        <v>21</v>
      </c>
      <c r="C117" s="108" t="s">
        <v>208</v>
      </c>
      <c r="D117" s="111" t="s">
        <v>77</v>
      </c>
      <c r="E117" s="96"/>
      <c r="F117" s="97"/>
      <c r="G117" s="98"/>
      <c r="H117" s="246"/>
    </row>
    <row r="118" spans="1:8" s="8" customFormat="1" ht="20" customHeight="1">
      <c r="A118" s="94" t="s">
        <v>57</v>
      </c>
      <c r="B118" s="94" t="s">
        <v>7</v>
      </c>
      <c r="C118" s="95">
        <v>207845</v>
      </c>
      <c r="D118" s="111" t="s">
        <v>48</v>
      </c>
      <c r="E118" s="96"/>
      <c r="F118" s="97"/>
      <c r="G118" s="98"/>
      <c r="H118" s="246"/>
    </row>
    <row r="119" spans="1:8" s="6" customFormat="1" ht="20" customHeight="1">
      <c r="A119" s="102" t="s">
        <v>57</v>
      </c>
      <c r="B119" s="94" t="s">
        <v>7</v>
      </c>
      <c r="C119" s="95">
        <v>207845</v>
      </c>
      <c r="D119" s="99" t="s">
        <v>13</v>
      </c>
      <c r="E119" s="100"/>
      <c r="F119" s="97"/>
      <c r="G119" s="103"/>
      <c r="H119" s="246"/>
    </row>
    <row r="120" spans="1:8" s="6" customFormat="1" ht="20" customHeight="1">
      <c r="A120" s="102" t="s">
        <v>57</v>
      </c>
      <c r="B120" s="94" t="s">
        <v>7</v>
      </c>
      <c r="C120" s="95">
        <v>207845</v>
      </c>
      <c r="D120" s="99" t="s">
        <v>28</v>
      </c>
      <c r="E120" s="100"/>
      <c r="F120" s="97"/>
      <c r="G120" s="103"/>
      <c r="H120" s="246"/>
    </row>
    <row r="121" spans="1:8" s="6" customFormat="1" ht="20" customHeight="1">
      <c r="A121" s="102" t="s">
        <v>57</v>
      </c>
      <c r="B121" s="94" t="s">
        <v>7</v>
      </c>
      <c r="C121" s="95">
        <v>207845</v>
      </c>
      <c r="D121" s="99" t="s">
        <v>10</v>
      </c>
      <c r="E121" s="100"/>
      <c r="F121" s="97"/>
      <c r="G121" s="103"/>
      <c r="H121" s="247"/>
    </row>
    <row r="122" spans="1:8" ht="20" customHeight="1">
      <c r="A122" s="102" t="s">
        <v>57</v>
      </c>
      <c r="B122" s="94" t="s">
        <v>7</v>
      </c>
      <c r="C122" s="106">
        <v>209415</v>
      </c>
      <c r="D122" s="99" t="s">
        <v>30</v>
      </c>
      <c r="E122" s="104"/>
      <c r="F122" s="105"/>
      <c r="G122" s="103"/>
      <c r="H122" s="245" t="s">
        <v>210</v>
      </c>
    </row>
    <row r="123" spans="1:8" ht="20" customHeight="1">
      <c r="A123" s="102" t="s">
        <v>57</v>
      </c>
      <c r="B123" s="94" t="s">
        <v>7</v>
      </c>
      <c r="C123" s="106">
        <v>209415</v>
      </c>
      <c r="D123" s="99" t="s">
        <v>41</v>
      </c>
      <c r="E123" s="104"/>
      <c r="F123" s="105"/>
      <c r="G123" s="103"/>
      <c r="H123" s="246"/>
    </row>
    <row r="124" spans="1:8" ht="20" customHeight="1">
      <c r="A124" s="102" t="s">
        <v>57</v>
      </c>
      <c r="B124" s="94" t="s">
        <v>7</v>
      </c>
      <c r="C124" s="95">
        <v>208699</v>
      </c>
      <c r="D124" s="111" t="s">
        <v>48</v>
      </c>
      <c r="E124" s="104"/>
      <c r="F124" s="107"/>
      <c r="G124" s="103"/>
      <c r="H124" s="246"/>
    </row>
    <row r="125" spans="1:8" s="6" customFormat="1" ht="20" customHeight="1">
      <c r="A125" s="102" t="s">
        <v>57</v>
      </c>
      <c r="B125" s="94" t="s">
        <v>7</v>
      </c>
      <c r="C125" s="95">
        <v>208699</v>
      </c>
      <c r="D125" s="99" t="s">
        <v>50</v>
      </c>
      <c r="E125" s="104"/>
      <c r="F125" s="97"/>
      <c r="G125" s="103"/>
      <c r="H125" s="246"/>
    </row>
    <row r="126" spans="1:8" ht="20" customHeight="1">
      <c r="A126" s="102" t="s">
        <v>57</v>
      </c>
      <c r="B126" s="94" t="s">
        <v>7</v>
      </c>
      <c r="C126" s="95">
        <v>208699</v>
      </c>
      <c r="D126" s="99" t="s">
        <v>30</v>
      </c>
      <c r="E126" s="104"/>
      <c r="F126" s="105"/>
      <c r="G126" s="103"/>
      <c r="H126" s="246"/>
    </row>
    <row r="127" spans="1:8" ht="20" customHeight="1">
      <c r="A127" s="102" t="s">
        <v>57</v>
      </c>
      <c r="B127" s="94" t="s">
        <v>21</v>
      </c>
      <c r="C127" s="106">
        <v>220010047</v>
      </c>
      <c r="D127" s="111" t="s">
        <v>48</v>
      </c>
      <c r="E127" s="104"/>
      <c r="F127" s="107"/>
      <c r="G127" s="103"/>
      <c r="H127" s="246"/>
    </row>
    <row r="128" spans="1:8" ht="20" customHeight="1">
      <c r="A128" s="102" t="s">
        <v>57</v>
      </c>
      <c r="B128" s="94" t="s">
        <v>21</v>
      </c>
      <c r="C128" s="106">
        <v>220010047</v>
      </c>
      <c r="D128" s="111" t="s">
        <v>51</v>
      </c>
      <c r="E128" s="104"/>
      <c r="F128" s="107"/>
      <c r="G128" s="103"/>
      <c r="H128" s="246"/>
    </row>
    <row r="129" spans="1:8" s="6" customFormat="1" ht="20" customHeight="1">
      <c r="A129" s="102" t="s">
        <v>57</v>
      </c>
      <c r="B129" s="94" t="s">
        <v>21</v>
      </c>
      <c r="C129" s="106">
        <v>220010047</v>
      </c>
      <c r="D129" s="99" t="s">
        <v>50</v>
      </c>
      <c r="E129" s="104"/>
      <c r="F129" s="97"/>
      <c r="G129" s="103"/>
      <c r="H129" s="246"/>
    </row>
    <row r="130" spans="1:8" s="6" customFormat="1" ht="20" customHeight="1">
      <c r="A130" s="102" t="s">
        <v>57</v>
      </c>
      <c r="B130" s="94" t="s">
        <v>21</v>
      </c>
      <c r="C130" s="106">
        <v>220010047</v>
      </c>
      <c r="D130" s="99" t="s">
        <v>211</v>
      </c>
      <c r="E130" s="104"/>
      <c r="F130" s="97"/>
      <c r="G130" s="103"/>
      <c r="H130" s="246"/>
    </row>
    <row r="131" spans="1:8" ht="20" customHeight="1">
      <c r="A131" s="102" t="s">
        <v>57</v>
      </c>
      <c r="B131" s="94" t="s">
        <v>21</v>
      </c>
      <c r="C131" s="106">
        <v>220010047</v>
      </c>
      <c r="D131" s="99" t="s">
        <v>30</v>
      </c>
      <c r="E131" s="104"/>
      <c r="F131" s="105"/>
      <c r="G131" s="103"/>
      <c r="H131" s="247"/>
    </row>
    <row r="132" spans="1:8" ht="20" customHeight="1">
      <c r="E132" s="10"/>
      <c r="G132" s="11"/>
    </row>
  </sheetData>
  <autoFilter ref="A1:H113" xr:uid="{00000000-0009-0000-0000-000000000000}"/>
  <mergeCells count="23">
    <mergeCell ref="H122:H131"/>
    <mergeCell ref="H113:H121"/>
    <mergeCell ref="H20:H25"/>
    <mergeCell ref="H1:H2"/>
    <mergeCell ref="H3:H19"/>
    <mergeCell ref="H26:H44"/>
    <mergeCell ref="H104:H107"/>
    <mergeCell ref="H108:H112"/>
    <mergeCell ref="H45:H48"/>
    <mergeCell ref="H49:H64"/>
    <mergeCell ref="H85:H86"/>
    <mergeCell ref="H87:H102"/>
    <mergeCell ref="H75:H76"/>
    <mergeCell ref="H77:H84"/>
    <mergeCell ref="H65:H66"/>
    <mergeCell ref="H67:H74"/>
    <mergeCell ref="F1:F2"/>
    <mergeCell ref="G1:G2"/>
    <mergeCell ref="A1:A2"/>
    <mergeCell ref="B1:B2"/>
    <mergeCell ref="C1:C2"/>
    <mergeCell ref="D1:D2"/>
    <mergeCell ref="E1:E2"/>
  </mergeCells>
  <phoneticPr fontId="34" type="noConversion"/>
  <printOptions horizontalCentered="1"/>
  <pageMargins left="0.45" right="0" top="0.5" bottom="0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2"/>
  <sheetViews>
    <sheetView view="pageBreakPreview" zoomScale="75" zoomScaleNormal="85" zoomScaleSheetLayoutView="85" workbookViewId="0">
      <pane xSplit="6" ySplit="2" topLeftCell="G80" activePane="bottomRight" state="frozen"/>
      <selection pane="topRight" activeCell="K1" sqref="K1"/>
      <selection pane="bottomLeft" activeCell="A3" sqref="A3"/>
      <selection pane="bottomRight" activeCell="O3" sqref="O3:O102"/>
    </sheetView>
  </sheetViews>
  <sheetFormatPr baseColWidth="10" defaultColWidth="9.1640625" defaultRowHeight="20" customHeight="1"/>
  <cols>
    <col min="1" max="1" width="6.33203125" style="51" customWidth="1"/>
    <col min="2" max="2" width="16" style="51" customWidth="1"/>
    <col min="3" max="3" width="18.83203125" style="51" customWidth="1"/>
    <col min="4" max="4" width="16.1640625" style="51" customWidth="1"/>
    <col min="5" max="5" width="70" style="52" customWidth="1"/>
    <col min="6" max="6" width="10.5" style="51" customWidth="1"/>
    <col min="7" max="7" width="11.6640625" style="51" customWidth="1"/>
    <col min="8" max="8" width="18.33203125" style="51" customWidth="1"/>
    <col min="9" max="9" width="8.33203125" style="51" customWidth="1"/>
    <col min="10" max="10" width="16.33203125" style="51" customWidth="1"/>
    <col min="11" max="11" width="11.33203125" style="50" customWidth="1"/>
    <col min="12" max="12" width="16.1640625" style="51" customWidth="1"/>
    <col min="13" max="13" width="13.1640625" style="51" customWidth="1"/>
    <col min="14" max="14" width="27.83203125" style="51" customWidth="1"/>
    <col min="15" max="15" width="15.5" style="51" customWidth="1"/>
    <col min="16" max="16" width="10.6640625" style="53" customWidth="1"/>
    <col min="17" max="17" width="11.33203125" style="49" customWidth="1"/>
    <col min="18" max="18" width="11.1640625" style="9" customWidth="1"/>
    <col min="19" max="16384" width="9.1640625" style="9"/>
  </cols>
  <sheetData>
    <row r="1" spans="1:18" s="36" customFormat="1" ht="20" customHeight="1">
      <c r="A1" s="162" t="s">
        <v>47</v>
      </c>
      <c r="B1" s="164" t="s">
        <v>0</v>
      </c>
      <c r="C1" s="165" t="s">
        <v>5</v>
      </c>
      <c r="D1" s="165" t="s">
        <v>1</v>
      </c>
      <c r="E1" s="166" t="s">
        <v>3</v>
      </c>
      <c r="F1" s="164" t="s">
        <v>2</v>
      </c>
      <c r="G1" s="177" t="s">
        <v>45</v>
      </c>
      <c r="H1" s="177" t="s">
        <v>46</v>
      </c>
      <c r="I1" s="177" t="s">
        <v>149</v>
      </c>
      <c r="J1" s="177" t="s">
        <v>140</v>
      </c>
      <c r="K1" s="164" t="s">
        <v>70</v>
      </c>
      <c r="L1" s="177" t="s">
        <v>67</v>
      </c>
      <c r="M1" s="177" t="s">
        <v>68</v>
      </c>
      <c r="N1" s="177" t="s">
        <v>150</v>
      </c>
      <c r="O1" s="177" t="s">
        <v>151</v>
      </c>
      <c r="P1" s="175" t="s">
        <v>138</v>
      </c>
      <c r="Q1" s="232" t="s">
        <v>94</v>
      </c>
      <c r="R1" s="220" t="s">
        <v>120</v>
      </c>
    </row>
    <row r="2" spans="1:18" s="37" customFormat="1" ht="20" customHeight="1">
      <c r="A2" s="162"/>
      <c r="B2" s="164"/>
      <c r="C2" s="165"/>
      <c r="D2" s="165"/>
      <c r="E2" s="166"/>
      <c r="F2" s="164"/>
      <c r="G2" s="178"/>
      <c r="H2" s="178"/>
      <c r="I2" s="178"/>
      <c r="J2" s="178"/>
      <c r="K2" s="164"/>
      <c r="L2" s="178"/>
      <c r="M2" s="178"/>
      <c r="N2" s="178"/>
      <c r="O2" s="178"/>
      <c r="P2" s="176"/>
      <c r="Q2" s="232"/>
      <c r="R2" s="221"/>
    </row>
    <row r="3" spans="1:18" ht="20" customHeight="1">
      <c r="A3" s="163">
        <v>1</v>
      </c>
      <c r="B3" s="26" t="s">
        <v>9</v>
      </c>
      <c r="C3" s="27" t="s">
        <v>7</v>
      </c>
      <c r="D3" s="32">
        <v>207845</v>
      </c>
      <c r="E3" s="56" t="s">
        <v>48</v>
      </c>
      <c r="F3" s="35">
        <v>30400</v>
      </c>
      <c r="G3" s="38"/>
      <c r="H3" s="30"/>
      <c r="I3" s="193">
        <v>750</v>
      </c>
      <c r="J3" s="193" t="s">
        <v>144</v>
      </c>
      <c r="K3" s="182">
        <v>46093</v>
      </c>
      <c r="L3" s="173" t="s">
        <v>69</v>
      </c>
      <c r="M3" s="182">
        <v>46100</v>
      </c>
      <c r="N3" s="173" t="s">
        <v>55</v>
      </c>
      <c r="O3" s="185"/>
      <c r="P3" s="167" t="s">
        <v>137</v>
      </c>
      <c r="Q3" s="233" t="s">
        <v>137</v>
      </c>
      <c r="R3" s="222" t="s">
        <v>121</v>
      </c>
    </row>
    <row r="4" spans="1:18">
      <c r="A4" s="163"/>
      <c r="B4" s="26" t="s">
        <v>9</v>
      </c>
      <c r="C4" s="27" t="s">
        <v>7</v>
      </c>
      <c r="D4" s="32">
        <v>207845</v>
      </c>
      <c r="E4" s="56" t="s">
        <v>49</v>
      </c>
      <c r="F4" s="35">
        <v>800</v>
      </c>
      <c r="G4" s="38"/>
      <c r="H4" s="30"/>
      <c r="I4" s="194"/>
      <c r="J4" s="194"/>
      <c r="K4" s="183"/>
      <c r="L4" s="188"/>
      <c r="M4" s="183"/>
      <c r="N4" s="188"/>
      <c r="O4" s="186"/>
      <c r="P4" s="168"/>
      <c r="Q4" s="234"/>
      <c r="R4" s="223"/>
    </row>
    <row r="5" spans="1:18">
      <c r="A5" s="163"/>
      <c r="B5" s="26" t="s">
        <v>9</v>
      </c>
      <c r="C5" s="27" t="s">
        <v>7</v>
      </c>
      <c r="D5" s="32">
        <v>207845</v>
      </c>
      <c r="E5" s="44" t="s">
        <v>50</v>
      </c>
      <c r="F5" s="32">
        <v>2850</v>
      </c>
      <c r="G5" s="33"/>
      <c r="H5" s="30"/>
      <c r="I5" s="194"/>
      <c r="J5" s="194"/>
      <c r="K5" s="183"/>
      <c r="L5" s="188"/>
      <c r="M5" s="183"/>
      <c r="N5" s="188"/>
      <c r="O5" s="186"/>
      <c r="P5" s="168"/>
      <c r="Q5" s="234"/>
      <c r="R5" s="223"/>
    </row>
    <row r="6" spans="1:18">
      <c r="A6" s="163"/>
      <c r="B6" s="26" t="s">
        <v>9</v>
      </c>
      <c r="C6" s="27" t="s">
        <v>7</v>
      </c>
      <c r="D6" s="32">
        <v>207845</v>
      </c>
      <c r="E6" s="44" t="s">
        <v>28</v>
      </c>
      <c r="F6" s="32">
        <v>3450</v>
      </c>
      <c r="G6" s="33"/>
      <c r="H6" s="30"/>
      <c r="I6" s="195"/>
      <c r="J6" s="195"/>
      <c r="K6" s="184"/>
      <c r="L6" s="174"/>
      <c r="M6" s="184"/>
      <c r="N6" s="174"/>
      <c r="O6" s="187"/>
      <c r="P6" s="169"/>
      <c r="Q6" s="235"/>
      <c r="R6" s="224"/>
    </row>
    <row r="7" spans="1:18">
      <c r="A7" s="163">
        <v>2</v>
      </c>
      <c r="B7" s="26" t="s">
        <v>9</v>
      </c>
      <c r="C7" s="27" t="s">
        <v>33</v>
      </c>
      <c r="D7" s="32">
        <v>220010028</v>
      </c>
      <c r="E7" s="56" t="s">
        <v>48</v>
      </c>
      <c r="F7" s="35">
        <v>9700</v>
      </c>
      <c r="G7" s="38"/>
      <c r="H7" s="30"/>
      <c r="I7" s="193">
        <v>206</v>
      </c>
      <c r="J7" s="193" t="s">
        <v>145</v>
      </c>
      <c r="K7" s="182">
        <v>46093</v>
      </c>
      <c r="L7" s="173" t="s">
        <v>71</v>
      </c>
      <c r="M7" s="170">
        <v>46100</v>
      </c>
      <c r="N7" s="173" t="s">
        <v>54</v>
      </c>
      <c r="O7" s="185"/>
      <c r="P7" s="179" t="s">
        <v>137</v>
      </c>
      <c r="Q7" s="236" t="s">
        <v>137</v>
      </c>
      <c r="R7" s="222" t="s">
        <v>121</v>
      </c>
    </row>
    <row r="8" spans="1:18" ht="20" customHeight="1">
      <c r="A8" s="163"/>
      <c r="B8" s="26" t="s">
        <v>9</v>
      </c>
      <c r="C8" s="27" t="s">
        <v>33</v>
      </c>
      <c r="D8" s="32">
        <v>220010028</v>
      </c>
      <c r="E8" s="44" t="s">
        <v>50</v>
      </c>
      <c r="F8" s="32">
        <v>400</v>
      </c>
      <c r="G8" s="33"/>
      <c r="H8" s="30"/>
      <c r="I8" s="194"/>
      <c r="J8" s="194"/>
      <c r="K8" s="183"/>
      <c r="L8" s="188"/>
      <c r="M8" s="171"/>
      <c r="N8" s="188"/>
      <c r="O8" s="186"/>
      <c r="P8" s="180"/>
      <c r="Q8" s="237"/>
      <c r="R8" s="223"/>
    </row>
    <row r="9" spans="1:18">
      <c r="A9" s="163"/>
      <c r="B9" s="26" t="s">
        <v>9</v>
      </c>
      <c r="C9" s="27" t="s">
        <v>33</v>
      </c>
      <c r="D9" s="32">
        <v>220010028</v>
      </c>
      <c r="E9" s="44" t="s">
        <v>28</v>
      </c>
      <c r="F9" s="32">
        <v>200</v>
      </c>
      <c r="G9" s="33"/>
      <c r="H9" s="30"/>
      <c r="I9" s="195"/>
      <c r="J9" s="195"/>
      <c r="K9" s="184"/>
      <c r="L9" s="174"/>
      <c r="M9" s="172"/>
      <c r="N9" s="174"/>
      <c r="O9" s="187"/>
      <c r="P9" s="181"/>
      <c r="Q9" s="238"/>
      <c r="R9" s="224"/>
    </row>
    <row r="10" spans="1:18">
      <c r="A10" s="28">
        <v>3</v>
      </c>
      <c r="B10" s="26" t="s">
        <v>15</v>
      </c>
      <c r="C10" s="27" t="s">
        <v>6</v>
      </c>
      <c r="D10" s="28">
        <v>208413</v>
      </c>
      <c r="E10" s="44" t="s">
        <v>12</v>
      </c>
      <c r="F10" s="34">
        <v>16992</v>
      </c>
      <c r="G10" s="29"/>
      <c r="H10" s="30"/>
      <c r="I10" s="64">
        <v>472</v>
      </c>
      <c r="J10" s="64" t="s">
        <v>146</v>
      </c>
      <c r="K10" s="41">
        <v>46094</v>
      </c>
      <c r="L10" s="42" t="s">
        <v>72</v>
      </c>
      <c r="M10" s="41">
        <v>46100</v>
      </c>
      <c r="N10" s="42" t="s">
        <v>60</v>
      </c>
      <c r="O10" s="39"/>
      <c r="P10" s="40" t="s">
        <v>137</v>
      </c>
      <c r="Q10" s="58" t="s">
        <v>137</v>
      </c>
      <c r="R10" s="60" t="s">
        <v>122</v>
      </c>
    </row>
    <row r="11" spans="1:18">
      <c r="A11" s="163">
        <v>4</v>
      </c>
      <c r="B11" s="26" t="s">
        <v>15</v>
      </c>
      <c r="C11" s="27" t="s">
        <v>20</v>
      </c>
      <c r="D11" s="28">
        <v>220010056</v>
      </c>
      <c r="E11" s="44" t="s">
        <v>52</v>
      </c>
      <c r="F11" s="35">
        <v>15552</v>
      </c>
      <c r="G11" s="29"/>
      <c r="H11" s="30"/>
      <c r="I11" s="193">
        <v>526</v>
      </c>
      <c r="J11" s="193" t="s">
        <v>145</v>
      </c>
      <c r="K11" s="170">
        <v>46094</v>
      </c>
      <c r="L11" s="173" t="s">
        <v>73</v>
      </c>
      <c r="M11" s="170">
        <v>46100</v>
      </c>
      <c r="N11" s="173" t="s">
        <v>61</v>
      </c>
      <c r="O11" s="185"/>
      <c r="P11" s="179" t="s">
        <v>137</v>
      </c>
      <c r="Q11" s="236" t="s">
        <v>137</v>
      </c>
      <c r="R11" s="222" t="s">
        <v>122</v>
      </c>
    </row>
    <row r="12" spans="1:18" ht="20" customHeight="1">
      <c r="A12" s="163"/>
      <c r="B12" s="26" t="s">
        <v>15</v>
      </c>
      <c r="C12" s="27" t="s">
        <v>20</v>
      </c>
      <c r="D12" s="28">
        <v>220010056</v>
      </c>
      <c r="E12" s="44" t="s">
        <v>53</v>
      </c>
      <c r="F12" s="35">
        <v>3384</v>
      </c>
      <c r="G12" s="29"/>
      <c r="H12" s="30"/>
      <c r="I12" s="195"/>
      <c r="J12" s="195"/>
      <c r="K12" s="172"/>
      <c r="L12" s="174"/>
      <c r="M12" s="172"/>
      <c r="N12" s="174"/>
      <c r="O12" s="187"/>
      <c r="P12" s="181"/>
      <c r="Q12" s="238"/>
      <c r="R12" s="224"/>
    </row>
    <row r="13" spans="1:18">
      <c r="A13" s="163">
        <v>5</v>
      </c>
      <c r="B13" s="26" t="s">
        <v>57</v>
      </c>
      <c r="C13" s="27" t="s">
        <v>7</v>
      </c>
      <c r="D13" s="32">
        <v>207845</v>
      </c>
      <c r="E13" s="56" t="s">
        <v>48</v>
      </c>
      <c r="F13" s="35">
        <v>14250</v>
      </c>
      <c r="G13" s="38"/>
      <c r="H13" s="30"/>
      <c r="I13" s="193">
        <v>1073</v>
      </c>
      <c r="J13" s="193" t="s">
        <v>146</v>
      </c>
      <c r="K13" s="189">
        <v>46094</v>
      </c>
      <c r="L13" s="191" t="s">
        <v>74</v>
      </c>
      <c r="M13" s="192">
        <v>46100</v>
      </c>
      <c r="N13" s="197" t="s">
        <v>56</v>
      </c>
      <c r="O13" s="190"/>
      <c r="P13" s="196" t="s">
        <v>137</v>
      </c>
      <c r="Q13" s="231" t="s">
        <v>137</v>
      </c>
      <c r="R13" s="225" t="s">
        <v>123</v>
      </c>
    </row>
    <row r="14" spans="1:18">
      <c r="A14" s="163"/>
      <c r="B14" s="26" t="s">
        <v>57</v>
      </c>
      <c r="C14" s="27" t="s">
        <v>7</v>
      </c>
      <c r="D14" s="32">
        <v>207845</v>
      </c>
      <c r="E14" s="56" t="s">
        <v>49</v>
      </c>
      <c r="F14" s="35">
        <v>1350</v>
      </c>
      <c r="G14" s="38"/>
      <c r="H14" s="30"/>
      <c r="I14" s="194"/>
      <c r="J14" s="194"/>
      <c r="K14" s="189"/>
      <c r="L14" s="191"/>
      <c r="M14" s="192"/>
      <c r="N14" s="197"/>
      <c r="O14" s="190"/>
      <c r="P14" s="196"/>
      <c r="Q14" s="231"/>
      <c r="R14" s="226"/>
    </row>
    <row r="15" spans="1:18">
      <c r="A15" s="163"/>
      <c r="B15" s="26" t="s">
        <v>57</v>
      </c>
      <c r="C15" s="27" t="s">
        <v>7</v>
      </c>
      <c r="D15" s="32">
        <v>207845</v>
      </c>
      <c r="E15" s="56" t="s">
        <v>51</v>
      </c>
      <c r="F15" s="35">
        <v>1350</v>
      </c>
      <c r="G15" s="38"/>
      <c r="H15" s="30"/>
      <c r="I15" s="194"/>
      <c r="J15" s="194"/>
      <c r="K15" s="189"/>
      <c r="L15" s="191"/>
      <c r="M15" s="192"/>
      <c r="N15" s="197"/>
      <c r="O15" s="190"/>
      <c r="P15" s="196"/>
      <c r="Q15" s="231"/>
      <c r="R15" s="226"/>
    </row>
    <row r="16" spans="1:18">
      <c r="A16" s="163"/>
      <c r="B16" s="26" t="s">
        <v>57</v>
      </c>
      <c r="C16" s="27" t="s">
        <v>7</v>
      </c>
      <c r="D16" s="32">
        <v>207845</v>
      </c>
      <c r="E16" s="44" t="s">
        <v>13</v>
      </c>
      <c r="F16" s="32">
        <v>2850</v>
      </c>
      <c r="G16" s="33"/>
      <c r="H16" s="30"/>
      <c r="I16" s="194"/>
      <c r="J16" s="194"/>
      <c r="K16" s="189"/>
      <c r="L16" s="191"/>
      <c r="M16" s="192"/>
      <c r="N16" s="197"/>
      <c r="O16" s="190"/>
      <c r="P16" s="196"/>
      <c r="Q16" s="231"/>
      <c r="R16" s="226"/>
    </row>
    <row r="17" spans="1:18">
      <c r="A17" s="163"/>
      <c r="B17" s="26" t="s">
        <v>57</v>
      </c>
      <c r="C17" s="27" t="s">
        <v>7</v>
      </c>
      <c r="D17" s="32">
        <v>207845</v>
      </c>
      <c r="E17" s="44" t="s">
        <v>28</v>
      </c>
      <c r="F17" s="32">
        <v>17400</v>
      </c>
      <c r="G17" s="33"/>
      <c r="H17" s="30"/>
      <c r="I17" s="194"/>
      <c r="J17" s="194"/>
      <c r="K17" s="189"/>
      <c r="L17" s="191"/>
      <c r="M17" s="192"/>
      <c r="N17" s="197"/>
      <c r="O17" s="190"/>
      <c r="P17" s="196"/>
      <c r="Q17" s="231"/>
      <c r="R17" s="226"/>
    </row>
    <row r="18" spans="1:18">
      <c r="A18" s="163"/>
      <c r="B18" s="26" t="s">
        <v>57</v>
      </c>
      <c r="C18" s="27" t="s">
        <v>7</v>
      </c>
      <c r="D18" s="32">
        <v>207845</v>
      </c>
      <c r="E18" s="44" t="s">
        <v>29</v>
      </c>
      <c r="F18" s="32">
        <v>1000</v>
      </c>
      <c r="G18" s="33"/>
      <c r="H18" s="30"/>
      <c r="I18" s="194"/>
      <c r="J18" s="194"/>
      <c r="K18" s="189"/>
      <c r="L18" s="191"/>
      <c r="M18" s="192"/>
      <c r="N18" s="197"/>
      <c r="O18" s="190"/>
      <c r="P18" s="196"/>
      <c r="Q18" s="231"/>
      <c r="R18" s="226"/>
    </row>
    <row r="19" spans="1:18">
      <c r="A19" s="163"/>
      <c r="B19" s="26" t="s">
        <v>57</v>
      </c>
      <c r="C19" s="27" t="s">
        <v>7</v>
      </c>
      <c r="D19" s="32">
        <v>207845</v>
      </c>
      <c r="E19" s="44" t="s">
        <v>30</v>
      </c>
      <c r="F19" s="28">
        <v>1960</v>
      </c>
      <c r="G19" s="29"/>
      <c r="H19" s="30"/>
      <c r="I19" s="194"/>
      <c r="J19" s="194"/>
      <c r="K19" s="189"/>
      <c r="L19" s="191"/>
      <c r="M19" s="192"/>
      <c r="N19" s="197"/>
      <c r="O19" s="190"/>
      <c r="P19" s="196"/>
      <c r="Q19" s="231"/>
      <c r="R19" s="226"/>
    </row>
    <row r="20" spans="1:18">
      <c r="A20" s="163"/>
      <c r="B20" s="26" t="s">
        <v>57</v>
      </c>
      <c r="C20" s="27" t="s">
        <v>7</v>
      </c>
      <c r="D20" s="32">
        <v>207845</v>
      </c>
      <c r="E20" s="44" t="s">
        <v>25</v>
      </c>
      <c r="F20" s="45">
        <v>2300</v>
      </c>
      <c r="G20" s="33"/>
      <c r="H20" s="30"/>
      <c r="I20" s="194"/>
      <c r="J20" s="194"/>
      <c r="K20" s="189"/>
      <c r="L20" s="191"/>
      <c r="M20" s="192"/>
      <c r="N20" s="197"/>
      <c r="O20" s="190"/>
      <c r="P20" s="196"/>
      <c r="Q20" s="231"/>
      <c r="R20" s="226"/>
    </row>
    <row r="21" spans="1:18">
      <c r="A21" s="163"/>
      <c r="B21" s="26" t="s">
        <v>57</v>
      </c>
      <c r="C21" s="27" t="s">
        <v>7</v>
      </c>
      <c r="D21" s="32">
        <v>207845</v>
      </c>
      <c r="E21" s="44" t="s">
        <v>26</v>
      </c>
      <c r="F21" s="45">
        <v>50</v>
      </c>
      <c r="G21" s="33"/>
      <c r="H21" s="30"/>
      <c r="I21" s="194"/>
      <c r="J21" s="194"/>
      <c r="K21" s="189"/>
      <c r="L21" s="191"/>
      <c r="M21" s="192"/>
      <c r="N21" s="197"/>
      <c r="O21" s="190"/>
      <c r="P21" s="196"/>
      <c r="Q21" s="231"/>
      <c r="R21" s="226"/>
    </row>
    <row r="22" spans="1:18">
      <c r="A22" s="163"/>
      <c r="B22" s="26" t="s">
        <v>57</v>
      </c>
      <c r="C22" s="27" t="s">
        <v>7</v>
      </c>
      <c r="D22" s="32">
        <v>207845</v>
      </c>
      <c r="E22" s="44" t="s">
        <v>10</v>
      </c>
      <c r="F22" s="32">
        <v>3400</v>
      </c>
      <c r="G22" s="33"/>
      <c r="H22" s="30"/>
      <c r="I22" s="194"/>
      <c r="J22" s="194"/>
      <c r="K22" s="189"/>
      <c r="L22" s="191"/>
      <c r="M22" s="192"/>
      <c r="N22" s="197"/>
      <c r="O22" s="190"/>
      <c r="P22" s="196"/>
      <c r="Q22" s="231"/>
      <c r="R22" s="226"/>
    </row>
    <row r="23" spans="1:18">
      <c r="A23" s="163"/>
      <c r="B23" s="26" t="s">
        <v>57</v>
      </c>
      <c r="C23" s="27" t="s">
        <v>7</v>
      </c>
      <c r="D23" s="32">
        <v>207845</v>
      </c>
      <c r="E23" s="44" t="s">
        <v>11</v>
      </c>
      <c r="F23" s="32">
        <v>320</v>
      </c>
      <c r="G23" s="33"/>
      <c r="H23" s="30"/>
      <c r="I23" s="194"/>
      <c r="J23" s="194"/>
      <c r="K23" s="189"/>
      <c r="L23" s="191"/>
      <c r="M23" s="192"/>
      <c r="N23" s="197"/>
      <c r="O23" s="190"/>
      <c r="P23" s="196"/>
      <c r="Q23" s="231"/>
      <c r="R23" s="226"/>
    </row>
    <row r="24" spans="1:18">
      <c r="A24" s="163"/>
      <c r="B24" s="26" t="s">
        <v>57</v>
      </c>
      <c r="C24" s="27" t="s">
        <v>7</v>
      </c>
      <c r="D24" s="32">
        <v>207845</v>
      </c>
      <c r="E24" s="44" t="s">
        <v>50</v>
      </c>
      <c r="F24" s="32">
        <v>6000</v>
      </c>
      <c r="G24" s="33"/>
      <c r="H24" s="30"/>
      <c r="I24" s="195"/>
      <c r="J24" s="195"/>
      <c r="K24" s="189"/>
      <c r="L24" s="191"/>
      <c r="M24" s="192"/>
      <c r="N24" s="197"/>
      <c r="O24" s="190"/>
      <c r="P24" s="196"/>
      <c r="Q24" s="231"/>
      <c r="R24" s="227"/>
    </row>
    <row r="25" spans="1:18">
      <c r="A25" s="163">
        <v>6</v>
      </c>
      <c r="B25" s="26" t="s">
        <v>58</v>
      </c>
      <c r="C25" s="27" t="s">
        <v>6</v>
      </c>
      <c r="D25" s="28">
        <v>208413</v>
      </c>
      <c r="E25" s="44" t="s">
        <v>12</v>
      </c>
      <c r="F25" s="34">
        <v>31428</v>
      </c>
      <c r="G25" s="29"/>
      <c r="H25" s="30"/>
      <c r="I25" s="200">
        <v>1129</v>
      </c>
      <c r="J25" s="193" t="s">
        <v>147</v>
      </c>
      <c r="K25" s="189">
        <v>46095</v>
      </c>
      <c r="L25" s="191" t="s">
        <v>75</v>
      </c>
      <c r="M25" s="192">
        <v>46100</v>
      </c>
      <c r="N25" s="173" t="s">
        <v>63</v>
      </c>
      <c r="O25" s="190"/>
      <c r="P25" s="196" t="s">
        <v>137</v>
      </c>
      <c r="Q25" s="231" t="s">
        <v>137</v>
      </c>
      <c r="R25" s="222" t="s">
        <v>122</v>
      </c>
    </row>
    <row r="26" spans="1:18">
      <c r="A26" s="163"/>
      <c r="B26" s="26" t="s">
        <v>58</v>
      </c>
      <c r="C26" s="27" t="s">
        <v>6</v>
      </c>
      <c r="D26" s="28">
        <v>208413</v>
      </c>
      <c r="E26" s="44" t="s">
        <v>17</v>
      </c>
      <c r="F26" s="34">
        <v>2772</v>
      </c>
      <c r="G26" s="29"/>
      <c r="H26" s="30"/>
      <c r="I26" s="200"/>
      <c r="J26" s="194"/>
      <c r="K26" s="189"/>
      <c r="L26" s="191"/>
      <c r="M26" s="192"/>
      <c r="N26" s="188"/>
      <c r="O26" s="190"/>
      <c r="P26" s="196"/>
      <c r="Q26" s="231"/>
      <c r="R26" s="223"/>
    </row>
    <row r="27" spans="1:18">
      <c r="A27" s="163"/>
      <c r="B27" s="26" t="s">
        <v>58</v>
      </c>
      <c r="C27" s="27" t="s">
        <v>6</v>
      </c>
      <c r="D27" s="28">
        <v>208413</v>
      </c>
      <c r="E27" s="44" t="s">
        <v>16</v>
      </c>
      <c r="F27" s="32">
        <v>3420</v>
      </c>
      <c r="G27" s="29"/>
      <c r="H27" s="30"/>
      <c r="I27" s="200"/>
      <c r="J27" s="194"/>
      <c r="K27" s="189"/>
      <c r="L27" s="191"/>
      <c r="M27" s="192"/>
      <c r="N27" s="188"/>
      <c r="O27" s="190"/>
      <c r="P27" s="196"/>
      <c r="Q27" s="231"/>
      <c r="R27" s="223"/>
    </row>
    <row r="28" spans="1:18">
      <c r="A28" s="163"/>
      <c r="B28" s="26" t="s">
        <v>58</v>
      </c>
      <c r="C28" s="27" t="s">
        <v>6</v>
      </c>
      <c r="D28" s="28">
        <v>208413</v>
      </c>
      <c r="E28" s="44" t="s">
        <v>22</v>
      </c>
      <c r="F28" s="28">
        <v>468</v>
      </c>
      <c r="G28" s="31"/>
      <c r="H28" s="30"/>
      <c r="I28" s="200"/>
      <c r="J28" s="194"/>
      <c r="K28" s="189"/>
      <c r="L28" s="191"/>
      <c r="M28" s="192"/>
      <c r="N28" s="188"/>
      <c r="O28" s="190"/>
      <c r="P28" s="196"/>
      <c r="Q28" s="231"/>
      <c r="R28" s="223"/>
    </row>
    <row r="29" spans="1:18">
      <c r="A29" s="163"/>
      <c r="B29" s="26" t="s">
        <v>58</v>
      </c>
      <c r="C29" s="27" t="s">
        <v>6</v>
      </c>
      <c r="D29" s="28">
        <v>208413</v>
      </c>
      <c r="E29" s="44" t="s">
        <v>14</v>
      </c>
      <c r="F29" s="35">
        <v>2340</v>
      </c>
      <c r="G29" s="29"/>
      <c r="H29" s="30"/>
      <c r="I29" s="200"/>
      <c r="J29" s="194"/>
      <c r="K29" s="189"/>
      <c r="L29" s="191"/>
      <c r="M29" s="192"/>
      <c r="N29" s="188"/>
      <c r="O29" s="190"/>
      <c r="P29" s="196"/>
      <c r="Q29" s="231"/>
      <c r="R29" s="223"/>
    </row>
    <row r="30" spans="1:18">
      <c r="A30" s="163"/>
      <c r="B30" s="26" t="s">
        <v>58</v>
      </c>
      <c r="C30" s="27" t="s">
        <v>6</v>
      </c>
      <c r="D30" s="28">
        <v>208413</v>
      </c>
      <c r="E30" s="44" t="s">
        <v>27</v>
      </c>
      <c r="F30" s="35">
        <v>216</v>
      </c>
      <c r="G30" s="29"/>
      <c r="H30" s="30"/>
      <c r="I30" s="200"/>
      <c r="J30" s="195"/>
      <c r="K30" s="189"/>
      <c r="L30" s="191"/>
      <c r="M30" s="192"/>
      <c r="N30" s="174"/>
      <c r="O30" s="190"/>
      <c r="P30" s="196"/>
      <c r="Q30" s="231"/>
      <c r="R30" s="224"/>
    </row>
    <row r="31" spans="1:18">
      <c r="A31" s="163"/>
      <c r="B31" s="26" t="s">
        <v>58</v>
      </c>
      <c r="C31" s="27" t="s">
        <v>6</v>
      </c>
      <c r="D31" s="28">
        <v>206875</v>
      </c>
      <c r="E31" s="44" t="s">
        <v>43</v>
      </c>
      <c r="F31" s="34">
        <v>1620</v>
      </c>
      <c r="G31" s="29"/>
      <c r="H31" s="30"/>
      <c r="I31" s="65">
        <v>45</v>
      </c>
      <c r="J31" s="65" t="s">
        <v>147</v>
      </c>
      <c r="K31" s="43">
        <v>46095</v>
      </c>
      <c r="L31" s="30" t="s">
        <v>76</v>
      </c>
      <c r="M31" s="47">
        <v>46100</v>
      </c>
      <c r="N31" s="30" t="s">
        <v>64</v>
      </c>
      <c r="O31" s="46"/>
      <c r="P31" s="48" t="s">
        <v>137</v>
      </c>
      <c r="Q31" s="59" t="s">
        <v>137</v>
      </c>
      <c r="R31" s="60" t="s">
        <v>122</v>
      </c>
    </row>
    <row r="32" spans="1:18" s="6" customFormat="1">
      <c r="A32" s="150">
        <v>7</v>
      </c>
      <c r="B32" s="114" t="s">
        <v>58</v>
      </c>
      <c r="C32" s="115" t="s">
        <v>6</v>
      </c>
      <c r="D32" s="122">
        <v>208413</v>
      </c>
      <c r="E32" s="123" t="s">
        <v>108</v>
      </c>
      <c r="F32" s="122">
        <v>2844</v>
      </c>
      <c r="G32" s="119"/>
      <c r="H32" s="120"/>
      <c r="I32" s="157">
        <v>141</v>
      </c>
      <c r="J32" s="157" t="s">
        <v>148</v>
      </c>
      <c r="K32" s="156">
        <v>46150</v>
      </c>
      <c r="L32" s="201" t="s">
        <v>129</v>
      </c>
      <c r="M32" s="202">
        <v>46176</v>
      </c>
      <c r="N32" s="201" t="s">
        <v>106</v>
      </c>
      <c r="O32" s="203"/>
      <c r="P32" s="206"/>
      <c r="Q32" s="209"/>
      <c r="R32" s="150" t="s">
        <v>122</v>
      </c>
    </row>
    <row r="33" spans="1:18" s="6" customFormat="1">
      <c r="A33" s="151"/>
      <c r="B33" s="114" t="s">
        <v>58</v>
      </c>
      <c r="C33" s="115" t="s">
        <v>6</v>
      </c>
      <c r="D33" s="122">
        <v>208413</v>
      </c>
      <c r="E33" s="123" t="s">
        <v>109</v>
      </c>
      <c r="F33" s="122">
        <v>72</v>
      </c>
      <c r="G33" s="119"/>
      <c r="H33" s="120"/>
      <c r="I33" s="159"/>
      <c r="J33" s="159"/>
      <c r="K33" s="156"/>
      <c r="L33" s="201"/>
      <c r="M33" s="202"/>
      <c r="N33" s="201"/>
      <c r="O33" s="203"/>
      <c r="P33" s="207"/>
      <c r="Q33" s="210"/>
      <c r="R33" s="151"/>
    </row>
    <row r="34" spans="1:18" s="6" customFormat="1">
      <c r="A34" s="151"/>
      <c r="B34" s="114" t="s">
        <v>58</v>
      </c>
      <c r="C34" s="115" t="s">
        <v>6</v>
      </c>
      <c r="D34" s="122">
        <v>208413</v>
      </c>
      <c r="E34" s="123" t="s">
        <v>104</v>
      </c>
      <c r="F34" s="122">
        <v>2016</v>
      </c>
      <c r="G34" s="119"/>
      <c r="H34" s="120"/>
      <c r="I34" s="159"/>
      <c r="J34" s="159"/>
      <c r="K34" s="156"/>
      <c r="L34" s="201"/>
      <c r="M34" s="202"/>
      <c r="N34" s="201"/>
      <c r="O34" s="203"/>
      <c r="P34" s="207"/>
      <c r="Q34" s="210"/>
      <c r="R34" s="151"/>
    </row>
    <row r="35" spans="1:18" s="6" customFormat="1">
      <c r="A35" s="152"/>
      <c r="B35" s="114" t="s">
        <v>58</v>
      </c>
      <c r="C35" s="115" t="s">
        <v>6</v>
      </c>
      <c r="D35" s="122">
        <v>208413</v>
      </c>
      <c r="E35" s="123" t="s">
        <v>105</v>
      </c>
      <c r="F35" s="122">
        <v>144</v>
      </c>
      <c r="G35" s="119"/>
      <c r="H35" s="120"/>
      <c r="I35" s="158"/>
      <c r="J35" s="158"/>
      <c r="K35" s="156"/>
      <c r="L35" s="201"/>
      <c r="M35" s="202"/>
      <c r="N35" s="201"/>
      <c r="O35" s="203"/>
      <c r="P35" s="208"/>
      <c r="Q35" s="211"/>
      <c r="R35" s="152"/>
    </row>
    <row r="36" spans="1:18" s="6" customFormat="1">
      <c r="A36" s="153">
        <v>8</v>
      </c>
      <c r="B36" s="114" t="s">
        <v>58</v>
      </c>
      <c r="C36" s="115" t="s">
        <v>20</v>
      </c>
      <c r="D36" s="122">
        <v>220010039</v>
      </c>
      <c r="E36" s="117" t="s">
        <v>12</v>
      </c>
      <c r="F36" s="122">
        <v>6984</v>
      </c>
      <c r="G36" s="127"/>
      <c r="H36" s="120"/>
      <c r="I36" s="157">
        <v>589</v>
      </c>
      <c r="J36" s="214" t="s">
        <v>139</v>
      </c>
      <c r="K36" s="156">
        <v>46150</v>
      </c>
      <c r="L36" s="201" t="s">
        <v>128</v>
      </c>
      <c r="M36" s="202">
        <v>46176</v>
      </c>
      <c r="N36" s="201" t="s">
        <v>107</v>
      </c>
      <c r="O36" s="203"/>
      <c r="P36" s="212" t="s">
        <v>137</v>
      </c>
      <c r="Q36" s="213"/>
      <c r="R36" s="228"/>
    </row>
    <row r="37" spans="1:18" s="6" customFormat="1">
      <c r="A37" s="153"/>
      <c r="B37" s="114" t="s">
        <v>58</v>
      </c>
      <c r="C37" s="115" t="s">
        <v>20</v>
      </c>
      <c r="D37" s="122">
        <v>220010039</v>
      </c>
      <c r="E37" s="117" t="s">
        <v>17</v>
      </c>
      <c r="F37" s="122">
        <v>432</v>
      </c>
      <c r="G37" s="127"/>
      <c r="H37" s="120"/>
      <c r="I37" s="159"/>
      <c r="J37" s="215"/>
      <c r="K37" s="156"/>
      <c r="L37" s="201"/>
      <c r="M37" s="202"/>
      <c r="N37" s="201"/>
      <c r="O37" s="203"/>
      <c r="P37" s="212"/>
      <c r="Q37" s="213"/>
      <c r="R37" s="229"/>
    </row>
    <row r="38" spans="1:18" s="6" customFormat="1">
      <c r="A38" s="153"/>
      <c r="B38" s="114" t="s">
        <v>58</v>
      </c>
      <c r="C38" s="115" t="s">
        <v>20</v>
      </c>
      <c r="D38" s="122">
        <v>220010039</v>
      </c>
      <c r="E38" s="117" t="s">
        <v>22</v>
      </c>
      <c r="F38" s="122">
        <v>180</v>
      </c>
      <c r="G38" s="127"/>
      <c r="H38" s="120"/>
      <c r="I38" s="159"/>
      <c r="J38" s="215"/>
      <c r="K38" s="156"/>
      <c r="L38" s="201"/>
      <c r="M38" s="202"/>
      <c r="N38" s="201"/>
      <c r="O38" s="203"/>
      <c r="P38" s="212"/>
      <c r="Q38" s="213"/>
      <c r="R38" s="229"/>
    </row>
    <row r="39" spans="1:18" s="6" customFormat="1">
      <c r="A39" s="153"/>
      <c r="B39" s="114" t="s">
        <v>58</v>
      </c>
      <c r="C39" s="115" t="s">
        <v>20</v>
      </c>
      <c r="D39" s="122">
        <v>220010039</v>
      </c>
      <c r="E39" s="123" t="s">
        <v>108</v>
      </c>
      <c r="F39" s="122">
        <v>180</v>
      </c>
      <c r="G39" s="127"/>
      <c r="H39" s="120"/>
      <c r="I39" s="159"/>
      <c r="J39" s="215"/>
      <c r="K39" s="156"/>
      <c r="L39" s="201"/>
      <c r="M39" s="202"/>
      <c r="N39" s="201"/>
      <c r="O39" s="203"/>
      <c r="P39" s="212"/>
      <c r="Q39" s="213"/>
      <c r="R39" s="229"/>
    </row>
    <row r="40" spans="1:18" s="6" customFormat="1">
      <c r="A40" s="153"/>
      <c r="B40" s="114" t="s">
        <v>58</v>
      </c>
      <c r="C40" s="115" t="s">
        <v>20</v>
      </c>
      <c r="D40" s="122">
        <v>220010039</v>
      </c>
      <c r="E40" s="123" t="s">
        <v>109</v>
      </c>
      <c r="F40" s="122">
        <v>72</v>
      </c>
      <c r="G40" s="127"/>
      <c r="H40" s="120"/>
      <c r="I40" s="159"/>
      <c r="J40" s="215"/>
      <c r="K40" s="156"/>
      <c r="L40" s="201"/>
      <c r="M40" s="202"/>
      <c r="N40" s="201"/>
      <c r="O40" s="203"/>
      <c r="P40" s="212"/>
      <c r="Q40" s="213"/>
      <c r="R40" s="229"/>
    </row>
    <row r="41" spans="1:18" s="6" customFormat="1">
      <c r="A41" s="153"/>
      <c r="B41" s="114" t="s">
        <v>58</v>
      </c>
      <c r="C41" s="115" t="s">
        <v>20</v>
      </c>
      <c r="D41" s="122">
        <v>220010039</v>
      </c>
      <c r="E41" s="123" t="s">
        <v>112</v>
      </c>
      <c r="F41" s="122">
        <v>432</v>
      </c>
      <c r="G41" s="127"/>
      <c r="H41" s="120"/>
      <c r="I41" s="159"/>
      <c r="J41" s="215"/>
      <c r="K41" s="156"/>
      <c r="L41" s="201"/>
      <c r="M41" s="202"/>
      <c r="N41" s="201"/>
      <c r="O41" s="203"/>
      <c r="P41" s="212"/>
      <c r="Q41" s="213"/>
      <c r="R41" s="229"/>
    </row>
    <row r="42" spans="1:18" s="6" customFormat="1">
      <c r="A42" s="153"/>
      <c r="B42" s="114" t="s">
        <v>58</v>
      </c>
      <c r="C42" s="115" t="s">
        <v>20</v>
      </c>
      <c r="D42" s="122">
        <v>220010039</v>
      </c>
      <c r="E42" s="123" t="s">
        <v>27</v>
      </c>
      <c r="F42" s="122">
        <v>216</v>
      </c>
      <c r="G42" s="127"/>
      <c r="H42" s="120"/>
      <c r="I42" s="159"/>
      <c r="J42" s="215"/>
      <c r="K42" s="156"/>
      <c r="L42" s="201"/>
      <c r="M42" s="202"/>
      <c r="N42" s="201"/>
      <c r="O42" s="203"/>
      <c r="P42" s="212"/>
      <c r="Q42" s="213"/>
      <c r="R42" s="229"/>
    </row>
    <row r="43" spans="1:18" s="6" customFormat="1">
      <c r="A43" s="153"/>
      <c r="B43" s="114" t="s">
        <v>58</v>
      </c>
      <c r="C43" s="115" t="s">
        <v>20</v>
      </c>
      <c r="D43" s="122">
        <v>220010039</v>
      </c>
      <c r="E43" s="123" t="s">
        <v>104</v>
      </c>
      <c r="F43" s="122">
        <v>1080</v>
      </c>
      <c r="G43" s="127"/>
      <c r="H43" s="120"/>
      <c r="I43" s="159"/>
      <c r="J43" s="215"/>
      <c r="K43" s="156"/>
      <c r="L43" s="201"/>
      <c r="M43" s="202"/>
      <c r="N43" s="201"/>
      <c r="O43" s="203"/>
      <c r="P43" s="212"/>
      <c r="Q43" s="213"/>
      <c r="R43" s="229"/>
    </row>
    <row r="44" spans="1:18" s="6" customFormat="1">
      <c r="A44" s="153"/>
      <c r="B44" s="114" t="s">
        <v>58</v>
      </c>
      <c r="C44" s="115" t="s">
        <v>20</v>
      </c>
      <c r="D44" s="122">
        <v>220010039</v>
      </c>
      <c r="E44" s="123" t="s">
        <v>105</v>
      </c>
      <c r="F44" s="122">
        <v>864</v>
      </c>
      <c r="G44" s="127"/>
      <c r="H44" s="120"/>
      <c r="I44" s="159"/>
      <c r="J44" s="215"/>
      <c r="K44" s="156"/>
      <c r="L44" s="201"/>
      <c r="M44" s="202"/>
      <c r="N44" s="201"/>
      <c r="O44" s="203"/>
      <c r="P44" s="212"/>
      <c r="Q44" s="213"/>
      <c r="R44" s="229"/>
    </row>
    <row r="45" spans="1:18" s="6" customFormat="1">
      <c r="A45" s="153"/>
      <c r="B45" s="114" t="s">
        <v>58</v>
      </c>
      <c r="C45" s="115" t="s">
        <v>20</v>
      </c>
      <c r="D45" s="122">
        <v>220010056</v>
      </c>
      <c r="E45" s="123" t="s">
        <v>110</v>
      </c>
      <c r="F45" s="122">
        <v>2448</v>
      </c>
      <c r="G45" s="127"/>
      <c r="H45" s="120"/>
      <c r="I45" s="159"/>
      <c r="J45" s="215"/>
      <c r="K45" s="156"/>
      <c r="L45" s="201"/>
      <c r="M45" s="202"/>
      <c r="N45" s="201"/>
      <c r="O45" s="203"/>
      <c r="P45" s="212"/>
      <c r="Q45" s="213"/>
      <c r="R45" s="229"/>
    </row>
    <row r="46" spans="1:18" s="6" customFormat="1">
      <c r="A46" s="153"/>
      <c r="B46" s="114" t="s">
        <v>58</v>
      </c>
      <c r="C46" s="115" t="s">
        <v>20</v>
      </c>
      <c r="D46" s="122">
        <v>220010056</v>
      </c>
      <c r="E46" s="123" t="s">
        <v>111</v>
      </c>
      <c r="F46" s="122">
        <v>576</v>
      </c>
      <c r="G46" s="127"/>
      <c r="H46" s="120"/>
      <c r="I46" s="159"/>
      <c r="J46" s="215"/>
      <c r="K46" s="156"/>
      <c r="L46" s="201"/>
      <c r="M46" s="202"/>
      <c r="N46" s="201"/>
      <c r="O46" s="203"/>
      <c r="P46" s="212"/>
      <c r="Q46" s="213"/>
      <c r="R46" s="229"/>
    </row>
    <row r="47" spans="1:18" s="6" customFormat="1">
      <c r="A47" s="153"/>
      <c r="B47" s="114" t="s">
        <v>58</v>
      </c>
      <c r="C47" s="115" t="s">
        <v>20</v>
      </c>
      <c r="D47" s="122">
        <v>220010056</v>
      </c>
      <c r="E47" s="117" t="s">
        <v>12</v>
      </c>
      <c r="F47" s="122">
        <v>900</v>
      </c>
      <c r="G47" s="127"/>
      <c r="H47" s="120"/>
      <c r="I47" s="159"/>
      <c r="J47" s="215"/>
      <c r="K47" s="156"/>
      <c r="L47" s="201"/>
      <c r="M47" s="202"/>
      <c r="N47" s="201"/>
      <c r="O47" s="203"/>
      <c r="P47" s="212"/>
      <c r="Q47" s="213"/>
      <c r="R47" s="229"/>
    </row>
    <row r="48" spans="1:18" s="6" customFormat="1">
      <c r="A48" s="153"/>
      <c r="B48" s="114" t="s">
        <v>58</v>
      </c>
      <c r="C48" s="115" t="s">
        <v>20</v>
      </c>
      <c r="D48" s="122">
        <v>220010056</v>
      </c>
      <c r="E48" s="117" t="s">
        <v>17</v>
      </c>
      <c r="F48" s="122">
        <v>108</v>
      </c>
      <c r="G48" s="127"/>
      <c r="H48" s="120"/>
      <c r="I48" s="159"/>
      <c r="J48" s="215"/>
      <c r="K48" s="156"/>
      <c r="L48" s="201"/>
      <c r="M48" s="202"/>
      <c r="N48" s="201"/>
      <c r="O48" s="203"/>
      <c r="P48" s="212"/>
      <c r="Q48" s="213"/>
      <c r="R48" s="229"/>
    </row>
    <row r="49" spans="1:18" s="6" customFormat="1">
      <c r="A49" s="153"/>
      <c r="B49" s="114" t="s">
        <v>58</v>
      </c>
      <c r="C49" s="115" t="s">
        <v>20</v>
      </c>
      <c r="D49" s="122">
        <v>220010056</v>
      </c>
      <c r="E49" s="123" t="s">
        <v>16</v>
      </c>
      <c r="F49" s="122">
        <v>4320</v>
      </c>
      <c r="G49" s="127"/>
      <c r="H49" s="120"/>
      <c r="I49" s="159"/>
      <c r="J49" s="215"/>
      <c r="K49" s="156"/>
      <c r="L49" s="201"/>
      <c r="M49" s="202"/>
      <c r="N49" s="201"/>
      <c r="O49" s="203"/>
      <c r="P49" s="212"/>
      <c r="Q49" s="213"/>
      <c r="R49" s="229"/>
    </row>
    <row r="50" spans="1:18" s="6" customFormat="1">
      <c r="A50" s="153"/>
      <c r="B50" s="114" t="s">
        <v>58</v>
      </c>
      <c r="C50" s="115" t="s">
        <v>20</v>
      </c>
      <c r="D50" s="122">
        <v>220010056</v>
      </c>
      <c r="E50" s="117" t="s">
        <v>22</v>
      </c>
      <c r="F50" s="122">
        <v>396</v>
      </c>
      <c r="G50" s="127"/>
      <c r="H50" s="120"/>
      <c r="I50" s="159"/>
      <c r="J50" s="215"/>
      <c r="K50" s="156"/>
      <c r="L50" s="201"/>
      <c r="M50" s="202"/>
      <c r="N50" s="201"/>
      <c r="O50" s="203"/>
      <c r="P50" s="212"/>
      <c r="Q50" s="213"/>
      <c r="R50" s="229"/>
    </row>
    <row r="51" spans="1:18" s="6" customFormat="1">
      <c r="A51" s="153"/>
      <c r="B51" s="114" t="s">
        <v>58</v>
      </c>
      <c r="C51" s="115" t="s">
        <v>20</v>
      </c>
      <c r="D51" s="122">
        <v>220010056</v>
      </c>
      <c r="E51" s="123" t="s">
        <v>112</v>
      </c>
      <c r="F51" s="122">
        <v>1512</v>
      </c>
      <c r="G51" s="127"/>
      <c r="H51" s="120"/>
      <c r="I51" s="159"/>
      <c r="J51" s="215"/>
      <c r="K51" s="156"/>
      <c r="L51" s="201"/>
      <c r="M51" s="202"/>
      <c r="N51" s="201"/>
      <c r="O51" s="203"/>
      <c r="P51" s="212"/>
      <c r="Q51" s="213"/>
      <c r="R51" s="229"/>
    </row>
    <row r="52" spans="1:18" s="6" customFormat="1">
      <c r="A52" s="153"/>
      <c r="B52" s="114" t="s">
        <v>58</v>
      </c>
      <c r="C52" s="115" t="s">
        <v>20</v>
      </c>
      <c r="D52" s="122">
        <v>220010056</v>
      </c>
      <c r="E52" s="123" t="s">
        <v>27</v>
      </c>
      <c r="F52" s="122">
        <v>504</v>
      </c>
      <c r="G52" s="127"/>
      <c r="H52" s="120"/>
      <c r="I52" s="158"/>
      <c r="J52" s="216"/>
      <c r="K52" s="156"/>
      <c r="L52" s="201"/>
      <c r="M52" s="202"/>
      <c r="N52" s="201"/>
      <c r="O52" s="203"/>
      <c r="P52" s="212"/>
      <c r="Q52" s="213"/>
      <c r="R52" s="230"/>
    </row>
    <row r="53" spans="1:18" s="6" customFormat="1">
      <c r="A53" s="122">
        <v>9</v>
      </c>
      <c r="B53" s="114" t="s">
        <v>15</v>
      </c>
      <c r="C53" s="115" t="s">
        <v>6</v>
      </c>
      <c r="D53" s="118">
        <v>208413</v>
      </c>
      <c r="E53" s="130" t="s">
        <v>12</v>
      </c>
      <c r="F53" s="118">
        <v>504</v>
      </c>
      <c r="G53" s="131"/>
      <c r="H53" s="120"/>
      <c r="I53" s="132">
        <v>14</v>
      </c>
      <c r="J53" s="132" t="s">
        <v>141</v>
      </c>
      <c r="K53" s="124">
        <v>46150</v>
      </c>
      <c r="L53" s="120" t="s">
        <v>135</v>
      </c>
      <c r="M53" s="125">
        <v>46175</v>
      </c>
      <c r="N53" s="120" t="s">
        <v>113</v>
      </c>
      <c r="O53" s="126"/>
      <c r="P53" s="128"/>
      <c r="Q53" s="129"/>
      <c r="R53" s="133"/>
    </row>
    <row r="54" spans="1:18" s="6" customFormat="1">
      <c r="A54" s="150">
        <v>10</v>
      </c>
      <c r="B54" s="114" t="s">
        <v>15</v>
      </c>
      <c r="C54" s="115" t="s">
        <v>20</v>
      </c>
      <c r="D54" s="118">
        <v>220010056</v>
      </c>
      <c r="E54" s="130" t="s">
        <v>52</v>
      </c>
      <c r="F54" s="134">
        <v>792</v>
      </c>
      <c r="G54" s="131"/>
      <c r="H54" s="120"/>
      <c r="I54" s="157">
        <v>28</v>
      </c>
      <c r="J54" s="157" t="s">
        <v>139</v>
      </c>
      <c r="K54" s="154">
        <v>46150</v>
      </c>
      <c r="L54" s="142" t="s">
        <v>136</v>
      </c>
      <c r="M54" s="204">
        <v>46175</v>
      </c>
      <c r="N54" s="142" t="s">
        <v>114</v>
      </c>
      <c r="O54" s="198"/>
      <c r="P54" s="144" t="s">
        <v>137</v>
      </c>
      <c r="Q54" s="209"/>
      <c r="R54" s="228"/>
    </row>
    <row r="55" spans="1:18" s="6" customFormat="1">
      <c r="A55" s="152"/>
      <c r="B55" s="114" t="s">
        <v>15</v>
      </c>
      <c r="C55" s="115" t="s">
        <v>20</v>
      </c>
      <c r="D55" s="118">
        <v>220010056</v>
      </c>
      <c r="E55" s="130" t="s">
        <v>53</v>
      </c>
      <c r="F55" s="134">
        <v>216</v>
      </c>
      <c r="G55" s="131"/>
      <c r="H55" s="120"/>
      <c r="I55" s="158"/>
      <c r="J55" s="158"/>
      <c r="K55" s="155"/>
      <c r="L55" s="143"/>
      <c r="M55" s="205"/>
      <c r="N55" s="143"/>
      <c r="O55" s="199"/>
      <c r="P55" s="145"/>
      <c r="Q55" s="211"/>
      <c r="R55" s="230"/>
    </row>
    <row r="56" spans="1:18" s="6" customFormat="1">
      <c r="A56" s="153">
        <v>11</v>
      </c>
      <c r="B56" s="114" t="s">
        <v>58</v>
      </c>
      <c r="C56" s="115" t="s">
        <v>6</v>
      </c>
      <c r="D56" s="122">
        <v>209692</v>
      </c>
      <c r="E56" s="130" t="s">
        <v>52</v>
      </c>
      <c r="F56" s="122">
        <v>1008</v>
      </c>
      <c r="G56" s="135"/>
      <c r="H56" s="120"/>
      <c r="I56" s="157">
        <v>390</v>
      </c>
      <c r="J56" s="157" t="s">
        <v>142</v>
      </c>
      <c r="K56" s="156">
        <v>46163</v>
      </c>
      <c r="L56" s="201" t="s">
        <v>130</v>
      </c>
      <c r="M56" s="202">
        <v>46175</v>
      </c>
      <c r="N56" s="142" t="s">
        <v>117</v>
      </c>
      <c r="O56" s="198"/>
      <c r="P56" s="206"/>
      <c r="Q56" s="206"/>
      <c r="R56" s="228"/>
    </row>
    <row r="57" spans="1:18" s="6" customFormat="1">
      <c r="A57" s="153"/>
      <c r="B57" s="114" t="s">
        <v>58</v>
      </c>
      <c r="C57" s="115" t="s">
        <v>6</v>
      </c>
      <c r="D57" s="122">
        <v>209692</v>
      </c>
      <c r="E57" s="123" t="s">
        <v>16</v>
      </c>
      <c r="F57" s="122">
        <v>5040</v>
      </c>
      <c r="G57" s="135"/>
      <c r="H57" s="120"/>
      <c r="I57" s="159"/>
      <c r="J57" s="159"/>
      <c r="K57" s="156"/>
      <c r="L57" s="201"/>
      <c r="M57" s="202"/>
      <c r="N57" s="160"/>
      <c r="O57" s="218"/>
      <c r="P57" s="207"/>
      <c r="Q57" s="207"/>
      <c r="R57" s="229"/>
    </row>
    <row r="58" spans="1:18" s="6" customFormat="1">
      <c r="A58" s="153"/>
      <c r="B58" s="114" t="s">
        <v>58</v>
      </c>
      <c r="C58" s="115" t="s">
        <v>6</v>
      </c>
      <c r="D58" s="122">
        <v>209692</v>
      </c>
      <c r="E58" s="117" t="s">
        <v>22</v>
      </c>
      <c r="F58" s="122">
        <v>540</v>
      </c>
      <c r="G58" s="135"/>
      <c r="H58" s="120"/>
      <c r="I58" s="159"/>
      <c r="J58" s="159"/>
      <c r="K58" s="156"/>
      <c r="L58" s="201"/>
      <c r="M58" s="202"/>
      <c r="N58" s="160"/>
      <c r="O58" s="218"/>
      <c r="P58" s="207"/>
      <c r="Q58" s="207"/>
      <c r="R58" s="229"/>
    </row>
    <row r="59" spans="1:18" s="6" customFormat="1">
      <c r="A59" s="153"/>
      <c r="B59" s="114" t="s">
        <v>58</v>
      </c>
      <c r="C59" s="115" t="s">
        <v>6</v>
      </c>
      <c r="D59" s="122">
        <v>209692</v>
      </c>
      <c r="E59" s="123" t="s">
        <v>112</v>
      </c>
      <c r="F59" s="122">
        <v>2376</v>
      </c>
      <c r="G59" s="135"/>
      <c r="H59" s="120"/>
      <c r="I59" s="159"/>
      <c r="J59" s="159"/>
      <c r="K59" s="156"/>
      <c r="L59" s="201"/>
      <c r="M59" s="202"/>
      <c r="N59" s="160"/>
      <c r="O59" s="218"/>
      <c r="P59" s="207"/>
      <c r="Q59" s="207"/>
      <c r="R59" s="229"/>
    </row>
    <row r="60" spans="1:18" s="6" customFormat="1">
      <c r="A60" s="153"/>
      <c r="B60" s="114" t="s">
        <v>58</v>
      </c>
      <c r="C60" s="115" t="s">
        <v>6</v>
      </c>
      <c r="D60" s="122">
        <v>209692</v>
      </c>
      <c r="E60" s="123" t="s">
        <v>27</v>
      </c>
      <c r="F60" s="122">
        <v>108</v>
      </c>
      <c r="G60" s="135"/>
      <c r="H60" s="120"/>
      <c r="I60" s="159"/>
      <c r="J60" s="159"/>
      <c r="K60" s="156"/>
      <c r="L60" s="201"/>
      <c r="M60" s="202"/>
      <c r="N60" s="160"/>
      <c r="O60" s="218"/>
      <c r="P60" s="207"/>
      <c r="Q60" s="207"/>
      <c r="R60" s="229"/>
    </row>
    <row r="61" spans="1:18" s="6" customFormat="1">
      <c r="A61" s="153"/>
      <c r="B61" s="114" t="s">
        <v>58</v>
      </c>
      <c r="C61" s="115" t="s">
        <v>6</v>
      </c>
      <c r="D61" s="122">
        <v>209692</v>
      </c>
      <c r="E61" s="123" t="s">
        <v>104</v>
      </c>
      <c r="F61" s="122">
        <v>3024</v>
      </c>
      <c r="G61" s="135"/>
      <c r="H61" s="120"/>
      <c r="I61" s="159"/>
      <c r="J61" s="159"/>
      <c r="K61" s="156"/>
      <c r="L61" s="201"/>
      <c r="M61" s="202"/>
      <c r="N61" s="160"/>
      <c r="O61" s="218"/>
      <c r="P61" s="207"/>
      <c r="Q61" s="207"/>
      <c r="R61" s="229"/>
    </row>
    <row r="62" spans="1:18" s="6" customFormat="1">
      <c r="A62" s="153"/>
      <c r="B62" s="114" t="s">
        <v>58</v>
      </c>
      <c r="C62" s="115" t="s">
        <v>6</v>
      </c>
      <c r="D62" s="122">
        <v>209692</v>
      </c>
      <c r="E62" s="123" t="s">
        <v>115</v>
      </c>
      <c r="F62" s="122">
        <v>1008</v>
      </c>
      <c r="G62" s="135"/>
      <c r="H62" s="120"/>
      <c r="I62" s="159"/>
      <c r="J62" s="159"/>
      <c r="K62" s="156"/>
      <c r="L62" s="201"/>
      <c r="M62" s="202"/>
      <c r="N62" s="160"/>
      <c r="O62" s="218"/>
      <c r="P62" s="207"/>
      <c r="Q62" s="207"/>
      <c r="R62" s="229"/>
    </row>
    <row r="63" spans="1:18" s="6" customFormat="1">
      <c r="A63" s="153"/>
      <c r="B63" s="114" t="s">
        <v>58</v>
      </c>
      <c r="C63" s="115" t="s">
        <v>6</v>
      </c>
      <c r="D63" s="122">
        <v>209692</v>
      </c>
      <c r="E63" s="130" t="s">
        <v>116</v>
      </c>
      <c r="F63" s="122">
        <v>864</v>
      </c>
      <c r="G63" s="135"/>
      <c r="H63" s="120"/>
      <c r="I63" s="159"/>
      <c r="J63" s="159"/>
      <c r="K63" s="156"/>
      <c r="L63" s="201"/>
      <c r="M63" s="202"/>
      <c r="N63" s="160"/>
      <c r="O63" s="218"/>
      <c r="P63" s="207"/>
      <c r="Q63" s="207"/>
      <c r="R63" s="229"/>
    </row>
    <row r="64" spans="1:18" s="6" customFormat="1">
      <c r="A64" s="153"/>
      <c r="B64" s="114" t="s">
        <v>58</v>
      </c>
      <c r="C64" s="115" t="s">
        <v>6</v>
      </c>
      <c r="D64" s="122">
        <v>209692</v>
      </c>
      <c r="E64" s="130" t="s">
        <v>118</v>
      </c>
      <c r="F64" s="122">
        <v>72</v>
      </c>
      <c r="G64" s="135"/>
      <c r="H64" s="120"/>
      <c r="I64" s="158"/>
      <c r="J64" s="158"/>
      <c r="K64" s="156"/>
      <c r="L64" s="201"/>
      <c r="M64" s="202"/>
      <c r="N64" s="143"/>
      <c r="O64" s="199"/>
      <c r="P64" s="208"/>
      <c r="Q64" s="208"/>
      <c r="R64" s="230"/>
    </row>
    <row r="65" spans="1:18" s="6" customFormat="1" ht="19" customHeight="1">
      <c r="A65" s="150">
        <v>12</v>
      </c>
      <c r="B65" s="114" t="s">
        <v>58</v>
      </c>
      <c r="C65" s="115" t="s">
        <v>20</v>
      </c>
      <c r="D65" s="118">
        <v>220010088</v>
      </c>
      <c r="E65" s="123" t="s">
        <v>16</v>
      </c>
      <c r="F65" s="134">
        <v>360</v>
      </c>
      <c r="G65" s="120"/>
      <c r="H65" s="120"/>
      <c r="I65" s="157">
        <v>14</v>
      </c>
      <c r="J65" s="157" t="s">
        <v>139</v>
      </c>
      <c r="K65" s="154">
        <v>46163</v>
      </c>
      <c r="L65" s="142" t="s">
        <v>131</v>
      </c>
      <c r="M65" s="204">
        <v>46176</v>
      </c>
      <c r="N65" s="142" t="s">
        <v>119</v>
      </c>
      <c r="O65" s="198"/>
      <c r="P65" s="206"/>
      <c r="Q65" s="206"/>
      <c r="R65" s="228"/>
    </row>
    <row r="66" spans="1:18" s="6" customFormat="1" ht="19" customHeight="1">
      <c r="A66" s="151"/>
      <c r="B66" s="114" t="s">
        <v>58</v>
      </c>
      <c r="C66" s="115" t="s">
        <v>20</v>
      </c>
      <c r="D66" s="118">
        <v>220010088</v>
      </c>
      <c r="E66" s="117" t="s">
        <v>22</v>
      </c>
      <c r="F66" s="134">
        <v>72</v>
      </c>
      <c r="G66" s="120"/>
      <c r="H66" s="120"/>
      <c r="I66" s="159"/>
      <c r="J66" s="159"/>
      <c r="K66" s="217"/>
      <c r="L66" s="160"/>
      <c r="M66" s="219"/>
      <c r="N66" s="160"/>
      <c r="O66" s="218"/>
      <c r="P66" s="207"/>
      <c r="Q66" s="207"/>
      <c r="R66" s="229"/>
    </row>
    <row r="67" spans="1:18" s="6" customFormat="1">
      <c r="A67" s="152"/>
      <c r="B67" s="114" t="s">
        <v>58</v>
      </c>
      <c r="C67" s="115" t="s">
        <v>20</v>
      </c>
      <c r="D67" s="118">
        <v>220010088</v>
      </c>
      <c r="E67" s="130" t="s">
        <v>118</v>
      </c>
      <c r="F67" s="134">
        <v>72</v>
      </c>
      <c r="G67" s="120"/>
      <c r="H67" s="120"/>
      <c r="I67" s="158"/>
      <c r="J67" s="158"/>
      <c r="K67" s="155"/>
      <c r="L67" s="143"/>
      <c r="M67" s="205"/>
      <c r="N67" s="143"/>
      <c r="O67" s="199"/>
      <c r="P67" s="208"/>
      <c r="Q67" s="208"/>
      <c r="R67" s="230"/>
    </row>
    <row r="68" spans="1:18" s="6" customFormat="1">
      <c r="A68" s="153">
        <v>13</v>
      </c>
      <c r="B68" s="114" t="s">
        <v>9</v>
      </c>
      <c r="C68" s="115" t="s">
        <v>38</v>
      </c>
      <c r="D68" s="122">
        <v>230010913</v>
      </c>
      <c r="E68" s="130" t="s">
        <v>39</v>
      </c>
      <c r="F68" s="136">
        <v>1224</v>
      </c>
      <c r="G68" s="137"/>
      <c r="H68" s="120"/>
      <c r="I68" s="157">
        <v>38</v>
      </c>
      <c r="J68" s="157" t="s">
        <v>143</v>
      </c>
      <c r="K68" s="154">
        <v>46163</v>
      </c>
      <c r="L68" s="142" t="s">
        <v>132</v>
      </c>
      <c r="M68" s="146">
        <v>46163</v>
      </c>
      <c r="N68" s="142" t="s">
        <v>125</v>
      </c>
      <c r="O68" s="142"/>
      <c r="P68" s="144" t="s">
        <v>137</v>
      </c>
      <c r="Q68" s="142" t="s">
        <v>137</v>
      </c>
      <c r="R68" s="142"/>
    </row>
    <row r="69" spans="1:18" s="6" customFormat="1">
      <c r="A69" s="153"/>
      <c r="B69" s="114" t="s">
        <v>9</v>
      </c>
      <c r="C69" s="115" t="s">
        <v>38</v>
      </c>
      <c r="D69" s="122">
        <v>230010913</v>
      </c>
      <c r="E69" s="130" t="s">
        <v>40</v>
      </c>
      <c r="F69" s="136">
        <v>144</v>
      </c>
      <c r="G69" s="137"/>
      <c r="H69" s="120"/>
      <c r="I69" s="158"/>
      <c r="J69" s="158"/>
      <c r="K69" s="155"/>
      <c r="L69" s="143"/>
      <c r="M69" s="147"/>
      <c r="N69" s="143"/>
      <c r="O69" s="143"/>
      <c r="P69" s="145"/>
      <c r="Q69" s="143"/>
      <c r="R69" s="143"/>
    </row>
    <row r="70" spans="1:18" s="6" customFormat="1">
      <c r="A70" s="153">
        <v>14</v>
      </c>
      <c r="B70" s="114" t="s">
        <v>9</v>
      </c>
      <c r="C70" s="115" t="s">
        <v>38</v>
      </c>
      <c r="D70" s="122">
        <v>230010913</v>
      </c>
      <c r="E70" s="130" t="s">
        <v>39</v>
      </c>
      <c r="F70" s="136">
        <v>17964</v>
      </c>
      <c r="G70" s="137"/>
      <c r="H70" s="120"/>
      <c r="I70" s="157">
        <v>577</v>
      </c>
      <c r="J70" s="157" t="s">
        <v>162</v>
      </c>
      <c r="K70" s="154">
        <v>46163</v>
      </c>
      <c r="L70" s="142" t="s">
        <v>161</v>
      </c>
      <c r="M70" s="146">
        <v>46173</v>
      </c>
      <c r="N70" s="142" t="s">
        <v>124</v>
      </c>
      <c r="O70" s="142"/>
      <c r="P70" s="142"/>
      <c r="Q70" s="142"/>
      <c r="R70" s="142"/>
    </row>
    <row r="71" spans="1:18" s="6" customFormat="1">
      <c r="A71" s="153"/>
      <c r="B71" s="114" t="s">
        <v>9</v>
      </c>
      <c r="C71" s="115" t="s">
        <v>38</v>
      </c>
      <c r="D71" s="122">
        <v>230010913</v>
      </c>
      <c r="E71" s="130" t="s">
        <v>40</v>
      </c>
      <c r="F71" s="136">
        <v>2808</v>
      </c>
      <c r="G71" s="137"/>
      <c r="H71" s="120"/>
      <c r="I71" s="158"/>
      <c r="J71" s="158"/>
      <c r="K71" s="155"/>
      <c r="L71" s="143"/>
      <c r="M71" s="147"/>
      <c r="N71" s="143"/>
      <c r="O71" s="143"/>
      <c r="P71" s="143"/>
      <c r="Q71" s="143"/>
      <c r="R71" s="143"/>
    </row>
    <row r="72" spans="1:18" s="6" customFormat="1">
      <c r="A72" s="148">
        <v>15</v>
      </c>
      <c r="B72" s="114" t="s">
        <v>57</v>
      </c>
      <c r="C72" s="115" t="s">
        <v>7</v>
      </c>
      <c r="D72" s="122">
        <v>209415</v>
      </c>
      <c r="E72" s="130" t="s">
        <v>30</v>
      </c>
      <c r="F72" s="136">
        <v>3600</v>
      </c>
      <c r="G72" s="137"/>
      <c r="H72" s="120"/>
      <c r="I72" s="157">
        <v>1134</v>
      </c>
      <c r="J72" s="157" t="s">
        <v>141</v>
      </c>
      <c r="K72" s="156">
        <v>46164</v>
      </c>
      <c r="L72" s="156" t="s">
        <v>133</v>
      </c>
      <c r="M72" s="156">
        <v>46175</v>
      </c>
      <c r="N72" s="156" t="s">
        <v>126</v>
      </c>
      <c r="O72" s="142"/>
      <c r="P72" s="156"/>
      <c r="Q72" s="156"/>
      <c r="R72" s="156"/>
    </row>
    <row r="73" spans="1:18" s="6" customFormat="1">
      <c r="A73" s="149"/>
      <c r="B73" s="114" t="s">
        <v>57</v>
      </c>
      <c r="C73" s="115" t="s">
        <v>7</v>
      </c>
      <c r="D73" s="122">
        <v>209415</v>
      </c>
      <c r="E73" s="130" t="s">
        <v>31</v>
      </c>
      <c r="F73" s="136">
        <v>520</v>
      </c>
      <c r="G73" s="137"/>
      <c r="H73" s="120"/>
      <c r="I73" s="159"/>
      <c r="J73" s="159"/>
      <c r="K73" s="156"/>
      <c r="L73" s="156"/>
      <c r="M73" s="156"/>
      <c r="N73" s="156"/>
      <c r="O73" s="160"/>
      <c r="P73" s="156"/>
      <c r="Q73" s="156"/>
      <c r="R73" s="156"/>
    </row>
    <row r="74" spans="1:18" s="6" customFormat="1">
      <c r="A74" s="149"/>
      <c r="B74" s="114" t="s">
        <v>57</v>
      </c>
      <c r="C74" s="115" t="s">
        <v>7</v>
      </c>
      <c r="D74" s="122">
        <v>209415</v>
      </c>
      <c r="E74" s="130" t="s">
        <v>41</v>
      </c>
      <c r="F74" s="136">
        <v>3440</v>
      </c>
      <c r="G74" s="137"/>
      <c r="H74" s="120"/>
      <c r="I74" s="159"/>
      <c r="J74" s="159"/>
      <c r="K74" s="156"/>
      <c r="L74" s="156"/>
      <c r="M74" s="156"/>
      <c r="N74" s="156"/>
      <c r="O74" s="160"/>
      <c r="P74" s="156"/>
      <c r="Q74" s="156"/>
      <c r="R74" s="156"/>
    </row>
    <row r="75" spans="1:18" s="6" customFormat="1">
      <c r="A75" s="149"/>
      <c r="B75" s="114" t="s">
        <v>57</v>
      </c>
      <c r="C75" s="115" t="s">
        <v>7</v>
      </c>
      <c r="D75" s="118">
        <v>208699</v>
      </c>
      <c r="E75" s="138" t="s">
        <v>90</v>
      </c>
      <c r="F75" s="136">
        <v>19900</v>
      </c>
      <c r="G75" s="139"/>
      <c r="H75" s="120"/>
      <c r="I75" s="159"/>
      <c r="J75" s="159"/>
      <c r="K75" s="156"/>
      <c r="L75" s="156"/>
      <c r="M75" s="156"/>
      <c r="N75" s="156"/>
      <c r="O75" s="160"/>
      <c r="P75" s="156"/>
      <c r="Q75" s="156"/>
      <c r="R75" s="156"/>
    </row>
    <row r="76" spans="1:18" s="6" customFormat="1">
      <c r="A76" s="149"/>
      <c r="B76" s="114" t="s">
        <v>57</v>
      </c>
      <c r="C76" s="115" t="s">
        <v>7</v>
      </c>
      <c r="D76" s="118">
        <v>208699</v>
      </c>
      <c r="E76" s="138" t="s">
        <v>91</v>
      </c>
      <c r="F76" s="136">
        <v>500</v>
      </c>
      <c r="G76" s="139"/>
      <c r="H76" s="120"/>
      <c r="I76" s="159"/>
      <c r="J76" s="159"/>
      <c r="K76" s="156"/>
      <c r="L76" s="156"/>
      <c r="M76" s="156"/>
      <c r="N76" s="156"/>
      <c r="O76" s="160"/>
      <c r="P76" s="156"/>
      <c r="Q76" s="156"/>
      <c r="R76" s="156"/>
    </row>
    <row r="77" spans="1:18" s="6" customFormat="1">
      <c r="A77" s="149"/>
      <c r="B77" s="114" t="s">
        <v>57</v>
      </c>
      <c r="C77" s="115" t="s">
        <v>7</v>
      </c>
      <c r="D77" s="118">
        <v>208699</v>
      </c>
      <c r="E77" s="138" t="s">
        <v>92</v>
      </c>
      <c r="F77" s="136">
        <v>1300</v>
      </c>
      <c r="G77" s="139"/>
      <c r="H77" s="120"/>
      <c r="I77" s="159"/>
      <c r="J77" s="159"/>
      <c r="K77" s="156"/>
      <c r="L77" s="156"/>
      <c r="M77" s="156"/>
      <c r="N77" s="156"/>
      <c r="O77" s="160"/>
      <c r="P77" s="156"/>
      <c r="Q77" s="156"/>
      <c r="R77" s="156"/>
    </row>
    <row r="78" spans="1:18" s="6" customFormat="1">
      <c r="A78" s="149"/>
      <c r="B78" s="114" t="s">
        <v>57</v>
      </c>
      <c r="C78" s="115" t="s">
        <v>7</v>
      </c>
      <c r="D78" s="118">
        <v>208699</v>
      </c>
      <c r="E78" s="130" t="s">
        <v>23</v>
      </c>
      <c r="F78" s="118">
        <v>2050</v>
      </c>
      <c r="G78" s="119"/>
      <c r="H78" s="120"/>
      <c r="I78" s="159"/>
      <c r="J78" s="159"/>
      <c r="K78" s="156"/>
      <c r="L78" s="156"/>
      <c r="M78" s="156"/>
      <c r="N78" s="156"/>
      <c r="O78" s="160"/>
      <c r="P78" s="156"/>
      <c r="Q78" s="156"/>
      <c r="R78" s="156"/>
    </row>
    <row r="79" spans="1:18" s="6" customFormat="1">
      <c r="A79" s="149"/>
      <c r="B79" s="114" t="s">
        <v>57</v>
      </c>
      <c r="C79" s="115" t="s">
        <v>7</v>
      </c>
      <c r="D79" s="118">
        <v>208699</v>
      </c>
      <c r="E79" s="130" t="s">
        <v>24</v>
      </c>
      <c r="F79" s="118">
        <v>50</v>
      </c>
      <c r="G79" s="119"/>
      <c r="H79" s="120"/>
      <c r="I79" s="159"/>
      <c r="J79" s="159"/>
      <c r="K79" s="156"/>
      <c r="L79" s="156"/>
      <c r="M79" s="156"/>
      <c r="N79" s="156"/>
      <c r="O79" s="160"/>
      <c r="P79" s="156"/>
      <c r="Q79" s="156"/>
      <c r="R79" s="156"/>
    </row>
    <row r="80" spans="1:18" s="6" customFormat="1">
      <c r="A80" s="149"/>
      <c r="B80" s="114" t="s">
        <v>57</v>
      </c>
      <c r="C80" s="115" t="s">
        <v>7</v>
      </c>
      <c r="D80" s="118">
        <v>208699</v>
      </c>
      <c r="E80" s="123" t="s">
        <v>10</v>
      </c>
      <c r="F80" s="122">
        <v>2120</v>
      </c>
      <c r="G80" s="119"/>
      <c r="H80" s="120"/>
      <c r="I80" s="159"/>
      <c r="J80" s="159"/>
      <c r="K80" s="156"/>
      <c r="L80" s="156"/>
      <c r="M80" s="156"/>
      <c r="N80" s="156"/>
      <c r="O80" s="160"/>
      <c r="P80" s="156"/>
      <c r="Q80" s="156"/>
      <c r="R80" s="156"/>
    </row>
    <row r="81" spans="1:18" s="6" customFormat="1">
      <c r="A81" s="149"/>
      <c r="B81" s="114" t="s">
        <v>57</v>
      </c>
      <c r="C81" s="115" t="s">
        <v>7</v>
      </c>
      <c r="D81" s="118">
        <v>208699</v>
      </c>
      <c r="E81" s="123" t="s">
        <v>34</v>
      </c>
      <c r="F81" s="122">
        <v>320</v>
      </c>
      <c r="G81" s="119"/>
      <c r="H81" s="120"/>
      <c r="I81" s="159"/>
      <c r="J81" s="159"/>
      <c r="K81" s="156"/>
      <c r="L81" s="156"/>
      <c r="M81" s="156"/>
      <c r="N81" s="156"/>
      <c r="O81" s="160"/>
      <c r="P81" s="156"/>
      <c r="Q81" s="156"/>
      <c r="R81" s="156"/>
    </row>
    <row r="82" spans="1:18" s="6" customFormat="1">
      <c r="A82" s="149"/>
      <c r="B82" s="114" t="s">
        <v>57</v>
      </c>
      <c r="C82" s="115" t="s">
        <v>7</v>
      </c>
      <c r="D82" s="118">
        <v>208699</v>
      </c>
      <c r="E82" s="130" t="s">
        <v>89</v>
      </c>
      <c r="F82" s="118">
        <v>4700</v>
      </c>
      <c r="G82" s="119"/>
      <c r="H82" s="120"/>
      <c r="I82" s="159"/>
      <c r="J82" s="159"/>
      <c r="K82" s="156"/>
      <c r="L82" s="156"/>
      <c r="M82" s="156"/>
      <c r="N82" s="156"/>
      <c r="O82" s="160"/>
      <c r="P82" s="156"/>
      <c r="Q82" s="156"/>
      <c r="R82" s="156"/>
    </row>
    <row r="83" spans="1:18" s="6" customFormat="1">
      <c r="A83" s="149"/>
      <c r="B83" s="114" t="s">
        <v>57</v>
      </c>
      <c r="C83" s="115" t="s">
        <v>7</v>
      </c>
      <c r="D83" s="118">
        <v>208699</v>
      </c>
      <c r="E83" s="130" t="s">
        <v>93</v>
      </c>
      <c r="F83" s="118">
        <v>1100</v>
      </c>
      <c r="G83" s="119"/>
      <c r="H83" s="120"/>
      <c r="I83" s="159"/>
      <c r="J83" s="159"/>
      <c r="K83" s="156"/>
      <c r="L83" s="156"/>
      <c r="M83" s="156"/>
      <c r="N83" s="156"/>
      <c r="O83" s="160"/>
      <c r="P83" s="156"/>
      <c r="Q83" s="156"/>
      <c r="R83" s="156"/>
    </row>
    <row r="84" spans="1:18" s="6" customFormat="1">
      <c r="A84" s="149"/>
      <c r="B84" s="114" t="s">
        <v>57</v>
      </c>
      <c r="C84" s="115" t="s">
        <v>7</v>
      </c>
      <c r="D84" s="118">
        <v>208699</v>
      </c>
      <c r="E84" s="138" t="s">
        <v>35</v>
      </c>
      <c r="F84" s="136">
        <v>2040</v>
      </c>
      <c r="G84" s="139"/>
      <c r="H84" s="120"/>
      <c r="I84" s="159"/>
      <c r="J84" s="159"/>
      <c r="K84" s="156"/>
      <c r="L84" s="156"/>
      <c r="M84" s="156"/>
      <c r="N84" s="156"/>
      <c r="O84" s="160"/>
      <c r="P84" s="156"/>
      <c r="Q84" s="156"/>
      <c r="R84" s="156"/>
    </row>
    <row r="85" spans="1:18" s="6" customFormat="1">
      <c r="A85" s="149"/>
      <c r="B85" s="114" t="s">
        <v>57</v>
      </c>
      <c r="C85" s="115" t="s">
        <v>7</v>
      </c>
      <c r="D85" s="118">
        <v>208699</v>
      </c>
      <c r="E85" s="138" t="s">
        <v>36</v>
      </c>
      <c r="F85" s="136">
        <v>1040</v>
      </c>
      <c r="G85" s="139"/>
      <c r="H85" s="120"/>
      <c r="I85" s="159"/>
      <c r="J85" s="159"/>
      <c r="K85" s="156"/>
      <c r="L85" s="156"/>
      <c r="M85" s="156"/>
      <c r="N85" s="156"/>
      <c r="O85" s="160"/>
      <c r="P85" s="156"/>
      <c r="Q85" s="156"/>
      <c r="R85" s="156"/>
    </row>
    <row r="86" spans="1:18" s="6" customFormat="1">
      <c r="A86" s="149"/>
      <c r="B86" s="114" t="s">
        <v>57</v>
      </c>
      <c r="C86" s="115" t="s">
        <v>7</v>
      </c>
      <c r="D86" s="118">
        <v>208699</v>
      </c>
      <c r="E86" s="130" t="s">
        <v>28</v>
      </c>
      <c r="F86" s="136">
        <v>3150</v>
      </c>
      <c r="G86" s="137"/>
      <c r="H86" s="120"/>
      <c r="I86" s="159"/>
      <c r="J86" s="159"/>
      <c r="K86" s="156"/>
      <c r="L86" s="156"/>
      <c r="M86" s="156"/>
      <c r="N86" s="156"/>
      <c r="O86" s="160"/>
      <c r="P86" s="156"/>
      <c r="Q86" s="156"/>
      <c r="R86" s="156"/>
    </row>
    <row r="87" spans="1:18" s="6" customFormat="1">
      <c r="A87" s="149"/>
      <c r="B87" s="114" t="s">
        <v>57</v>
      </c>
      <c r="C87" s="115" t="s">
        <v>7</v>
      </c>
      <c r="D87" s="118">
        <v>208699</v>
      </c>
      <c r="E87" s="130" t="s">
        <v>30</v>
      </c>
      <c r="F87" s="136">
        <v>1320</v>
      </c>
      <c r="G87" s="137"/>
      <c r="H87" s="120"/>
      <c r="I87" s="159"/>
      <c r="J87" s="159"/>
      <c r="K87" s="156"/>
      <c r="L87" s="156"/>
      <c r="M87" s="156"/>
      <c r="N87" s="156"/>
      <c r="O87" s="160"/>
      <c r="P87" s="156"/>
      <c r="Q87" s="156"/>
      <c r="R87" s="156"/>
    </row>
    <row r="88" spans="1:18" s="6" customFormat="1">
      <c r="A88" s="149"/>
      <c r="B88" s="114" t="s">
        <v>57</v>
      </c>
      <c r="C88" s="115" t="s">
        <v>7</v>
      </c>
      <c r="D88" s="118">
        <v>208699</v>
      </c>
      <c r="E88" s="130" t="s">
        <v>31</v>
      </c>
      <c r="F88" s="136">
        <v>40</v>
      </c>
      <c r="G88" s="137"/>
      <c r="H88" s="120"/>
      <c r="I88" s="159"/>
      <c r="J88" s="159"/>
      <c r="K88" s="156"/>
      <c r="L88" s="156"/>
      <c r="M88" s="156"/>
      <c r="N88" s="156"/>
      <c r="O88" s="160"/>
      <c r="P88" s="156"/>
      <c r="Q88" s="156"/>
      <c r="R88" s="156"/>
    </row>
    <row r="89" spans="1:18" s="6" customFormat="1">
      <c r="A89" s="149"/>
      <c r="B89" s="114" t="s">
        <v>57</v>
      </c>
      <c r="C89" s="115" t="s">
        <v>7</v>
      </c>
      <c r="D89" s="118">
        <v>208699</v>
      </c>
      <c r="E89" s="130" t="s">
        <v>25</v>
      </c>
      <c r="F89" s="136">
        <v>1950</v>
      </c>
      <c r="G89" s="137"/>
      <c r="H89" s="120"/>
      <c r="I89" s="159"/>
      <c r="J89" s="159"/>
      <c r="K89" s="156"/>
      <c r="L89" s="156"/>
      <c r="M89" s="156"/>
      <c r="N89" s="156"/>
      <c r="O89" s="160"/>
      <c r="P89" s="156"/>
      <c r="Q89" s="156"/>
      <c r="R89" s="156"/>
    </row>
    <row r="90" spans="1:18" s="6" customFormat="1">
      <c r="A90" s="149"/>
      <c r="B90" s="114" t="s">
        <v>57</v>
      </c>
      <c r="C90" s="115" t="s">
        <v>7</v>
      </c>
      <c r="D90" s="118">
        <v>208699</v>
      </c>
      <c r="E90" s="130" t="s">
        <v>32</v>
      </c>
      <c r="F90" s="136">
        <v>50</v>
      </c>
      <c r="G90" s="137"/>
      <c r="H90" s="120"/>
      <c r="I90" s="159"/>
      <c r="J90" s="159"/>
      <c r="K90" s="156"/>
      <c r="L90" s="156"/>
      <c r="M90" s="156"/>
      <c r="N90" s="156"/>
      <c r="O90" s="160"/>
      <c r="P90" s="156"/>
      <c r="Q90" s="156"/>
      <c r="R90" s="156"/>
    </row>
    <row r="91" spans="1:18" s="6" customFormat="1">
      <c r="A91" s="149"/>
      <c r="B91" s="114" t="s">
        <v>57</v>
      </c>
      <c r="C91" s="115" t="s">
        <v>7</v>
      </c>
      <c r="D91" s="118">
        <v>208699</v>
      </c>
      <c r="E91" s="130" t="s">
        <v>37</v>
      </c>
      <c r="F91" s="136">
        <v>3900</v>
      </c>
      <c r="G91" s="137"/>
      <c r="H91" s="120"/>
      <c r="I91" s="158"/>
      <c r="J91" s="158"/>
      <c r="K91" s="156"/>
      <c r="L91" s="156"/>
      <c r="M91" s="156"/>
      <c r="N91" s="156"/>
      <c r="O91" s="143"/>
      <c r="P91" s="156"/>
      <c r="Q91" s="156"/>
      <c r="R91" s="156"/>
    </row>
    <row r="92" spans="1:18" s="6" customFormat="1">
      <c r="A92" s="150">
        <v>16</v>
      </c>
      <c r="B92" s="114" t="s">
        <v>57</v>
      </c>
      <c r="C92" s="115" t="s">
        <v>21</v>
      </c>
      <c r="D92" s="122">
        <v>220010047</v>
      </c>
      <c r="E92" s="138" t="s">
        <v>90</v>
      </c>
      <c r="F92" s="136">
        <v>8100</v>
      </c>
      <c r="G92" s="139"/>
      <c r="H92" s="120"/>
      <c r="I92" s="157">
        <v>237</v>
      </c>
      <c r="J92" s="157" t="s">
        <v>139</v>
      </c>
      <c r="K92" s="156">
        <v>46164</v>
      </c>
      <c r="L92" s="156" t="s">
        <v>127</v>
      </c>
      <c r="M92" s="156">
        <v>46176</v>
      </c>
      <c r="N92" s="156" t="s">
        <v>134</v>
      </c>
      <c r="O92" s="161"/>
      <c r="P92" s="156"/>
      <c r="Q92" s="156"/>
      <c r="R92" s="156"/>
    </row>
    <row r="93" spans="1:18" s="6" customFormat="1">
      <c r="A93" s="151"/>
      <c r="B93" s="114" t="s">
        <v>57</v>
      </c>
      <c r="C93" s="115" t="s">
        <v>21</v>
      </c>
      <c r="D93" s="122">
        <v>220010047</v>
      </c>
      <c r="E93" s="138" t="s">
        <v>91</v>
      </c>
      <c r="F93" s="136">
        <v>250</v>
      </c>
      <c r="G93" s="139"/>
      <c r="H93" s="120"/>
      <c r="I93" s="159"/>
      <c r="J93" s="159"/>
      <c r="K93" s="156"/>
      <c r="L93" s="156"/>
      <c r="M93" s="156"/>
      <c r="N93" s="156"/>
      <c r="O93" s="161"/>
      <c r="P93" s="156"/>
      <c r="Q93" s="156"/>
      <c r="R93" s="156"/>
    </row>
    <row r="94" spans="1:18" s="6" customFormat="1">
      <c r="A94" s="151"/>
      <c r="B94" s="114" t="s">
        <v>57</v>
      </c>
      <c r="C94" s="115" t="s">
        <v>21</v>
      </c>
      <c r="D94" s="122">
        <v>220010047</v>
      </c>
      <c r="E94" s="138" t="s">
        <v>92</v>
      </c>
      <c r="F94" s="136">
        <v>100</v>
      </c>
      <c r="G94" s="139"/>
      <c r="H94" s="120"/>
      <c r="I94" s="159"/>
      <c r="J94" s="159"/>
      <c r="K94" s="156"/>
      <c r="L94" s="156"/>
      <c r="M94" s="156"/>
      <c r="N94" s="156"/>
      <c r="O94" s="161"/>
      <c r="P94" s="156"/>
      <c r="Q94" s="156"/>
      <c r="R94" s="156"/>
    </row>
    <row r="95" spans="1:18" s="6" customFormat="1">
      <c r="A95" s="151"/>
      <c r="B95" s="114" t="s">
        <v>57</v>
      </c>
      <c r="C95" s="115" t="s">
        <v>21</v>
      </c>
      <c r="D95" s="122">
        <v>220010047</v>
      </c>
      <c r="E95" s="123" t="s">
        <v>10</v>
      </c>
      <c r="F95" s="122">
        <v>600</v>
      </c>
      <c r="G95" s="119"/>
      <c r="H95" s="120"/>
      <c r="I95" s="159"/>
      <c r="J95" s="159"/>
      <c r="K95" s="156"/>
      <c r="L95" s="156"/>
      <c r="M95" s="156"/>
      <c r="N95" s="156"/>
      <c r="O95" s="161"/>
      <c r="P95" s="156"/>
      <c r="Q95" s="156"/>
      <c r="R95" s="156"/>
    </row>
    <row r="96" spans="1:18" s="6" customFormat="1">
      <c r="A96" s="151"/>
      <c r="B96" s="114" t="s">
        <v>57</v>
      </c>
      <c r="C96" s="115" t="s">
        <v>21</v>
      </c>
      <c r="D96" s="122">
        <v>220010047</v>
      </c>
      <c r="E96" s="130" t="s">
        <v>89</v>
      </c>
      <c r="F96" s="118">
        <v>1200</v>
      </c>
      <c r="G96" s="119"/>
      <c r="H96" s="120"/>
      <c r="I96" s="159"/>
      <c r="J96" s="159"/>
      <c r="K96" s="156"/>
      <c r="L96" s="156"/>
      <c r="M96" s="156"/>
      <c r="N96" s="156"/>
      <c r="O96" s="161"/>
      <c r="P96" s="156"/>
      <c r="Q96" s="156"/>
      <c r="R96" s="156"/>
    </row>
    <row r="97" spans="1:18" s="6" customFormat="1">
      <c r="A97" s="151"/>
      <c r="B97" s="114" t="s">
        <v>57</v>
      </c>
      <c r="C97" s="115" t="s">
        <v>21</v>
      </c>
      <c r="D97" s="122">
        <v>220010047</v>
      </c>
      <c r="E97" s="130" t="s">
        <v>93</v>
      </c>
      <c r="F97" s="118">
        <v>50</v>
      </c>
      <c r="G97" s="119"/>
      <c r="H97" s="120"/>
      <c r="I97" s="159"/>
      <c r="J97" s="159"/>
      <c r="K97" s="156"/>
      <c r="L97" s="156"/>
      <c r="M97" s="156"/>
      <c r="N97" s="156"/>
      <c r="O97" s="161"/>
      <c r="P97" s="156"/>
      <c r="Q97" s="156"/>
      <c r="R97" s="156"/>
    </row>
    <row r="98" spans="1:18" s="140" customFormat="1" ht="20" customHeight="1">
      <c r="A98" s="151"/>
      <c r="B98" s="114" t="s">
        <v>57</v>
      </c>
      <c r="C98" s="115" t="s">
        <v>21</v>
      </c>
      <c r="D98" s="122">
        <v>220010047</v>
      </c>
      <c r="E98" s="130" t="s">
        <v>28</v>
      </c>
      <c r="F98" s="136">
        <v>800</v>
      </c>
      <c r="G98" s="137"/>
      <c r="H98" s="120"/>
      <c r="I98" s="159"/>
      <c r="J98" s="159"/>
      <c r="K98" s="156"/>
      <c r="L98" s="156"/>
      <c r="M98" s="156"/>
      <c r="N98" s="156"/>
      <c r="O98" s="161"/>
      <c r="P98" s="156"/>
      <c r="Q98" s="156"/>
      <c r="R98" s="156"/>
    </row>
    <row r="99" spans="1:18" s="140" customFormat="1" ht="20" customHeight="1">
      <c r="A99" s="151"/>
      <c r="B99" s="114" t="s">
        <v>57</v>
      </c>
      <c r="C99" s="115" t="s">
        <v>21</v>
      </c>
      <c r="D99" s="122">
        <v>220010047</v>
      </c>
      <c r="E99" s="130" t="s">
        <v>30</v>
      </c>
      <c r="F99" s="136">
        <v>320</v>
      </c>
      <c r="G99" s="137"/>
      <c r="H99" s="120"/>
      <c r="I99" s="159"/>
      <c r="J99" s="159"/>
      <c r="K99" s="156"/>
      <c r="L99" s="156"/>
      <c r="M99" s="156"/>
      <c r="N99" s="156"/>
      <c r="O99" s="161"/>
      <c r="P99" s="156"/>
      <c r="Q99" s="156"/>
      <c r="R99" s="156"/>
    </row>
    <row r="100" spans="1:18" s="141" customFormat="1" ht="20" customHeight="1">
      <c r="A100" s="151"/>
      <c r="B100" s="114" t="s">
        <v>57</v>
      </c>
      <c r="C100" s="115" t="s">
        <v>21</v>
      </c>
      <c r="D100" s="122">
        <v>220010047</v>
      </c>
      <c r="E100" s="130" t="s">
        <v>31</v>
      </c>
      <c r="F100" s="136">
        <v>80</v>
      </c>
      <c r="G100" s="137"/>
      <c r="H100" s="120"/>
      <c r="I100" s="159"/>
      <c r="J100" s="159"/>
      <c r="K100" s="156"/>
      <c r="L100" s="156"/>
      <c r="M100" s="156"/>
      <c r="N100" s="156"/>
      <c r="O100" s="161"/>
      <c r="P100" s="156"/>
      <c r="Q100" s="156"/>
      <c r="R100" s="156"/>
    </row>
    <row r="101" spans="1:18" s="140" customFormat="1" ht="20" customHeight="1">
      <c r="A101" s="152"/>
      <c r="B101" s="114" t="s">
        <v>57</v>
      </c>
      <c r="C101" s="115" t="s">
        <v>21</v>
      </c>
      <c r="D101" s="122">
        <v>220010047</v>
      </c>
      <c r="E101" s="130" t="s">
        <v>37</v>
      </c>
      <c r="F101" s="136">
        <v>100</v>
      </c>
      <c r="G101" s="137"/>
      <c r="H101" s="120"/>
      <c r="I101" s="158"/>
      <c r="J101" s="158"/>
      <c r="K101" s="156"/>
      <c r="L101" s="156"/>
      <c r="M101" s="156"/>
      <c r="N101" s="156"/>
      <c r="O101" s="161"/>
      <c r="P101" s="156"/>
      <c r="Q101" s="156"/>
      <c r="R101" s="156"/>
    </row>
    <row r="102" spans="1:18" ht="20" customHeight="1">
      <c r="F102" s="62">
        <f>SUM(F3:F101)</f>
        <v>307388</v>
      </c>
      <c r="H102" s="61"/>
      <c r="I102" s="61"/>
      <c r="J102" s="61"/>
      <c r="O102" s="63"/>
    </row>
  </sheetData>
  <autoFilter ref="B1:Q98" xr:uid="{00000000-0009-0000-0000-000001000000}"/>
  <mergeCells count="172">
    <mergeCell ref="Q56:Q64"/>
    <mergeCell ref="Q65:Q67"/>
    <mergeCell ref="R1:R2"/>
    <mergeCell ref="R3:R6"/>
    <mergeCell ref="R7:R9"/>
    <mergeCell ref="R11:R12"/>
    <mergeCell ref="R13:R24"/>
    <mergeCell ref="R25:R30"/>
    <mergeCell ref="R32:R35"/>
    <mergeCell ref="R36:R52"/>
    <mergeCell ref="R54:R55"/>
    <mergeCell ref="R56:R64"/>
    <mergeCell ref="R65:R67"/>
    <mergeCell ref="Q13:Q24"/>
    <mergeCell ref="Q1:Q2"/>
    <mergeCell ref="Q3:Q6"/>
    <mergeCell ref="Q7:Q9"/>
    <mergeCell ref="Q11:Q12"/>
    <mergeCell ref="Q25:Q30"/>
    <mergeCell ref="Q54:Q55"/>
    <mergeCell ref="I54:I55"/>
    <mergeCell ref="J36:J52"/>
    <mergeCell ref="J54:J55"/>
    <mergeCell ref="A65:A67"/>
    <mergeCell ref="K65:K67"/>
    <mergeCell ref="O56:O64"/>
    <mergeCell ref="P56:P64"/>
    <mergeCell ref="N65:N67"/>
    <mergeCell ref="O65:O67"/>
    <mergeCell ref="P65:P67"/>
    <mergeCell ref="A56:A64"/>
    <mergeCell ref="K56:K64"/>
    <mergeCell ref="L56:L64"/>
    <mergeCell ref="M56:M64"/>
    <mergeCell ref="N56:N64"/>
    <mergeCell ref="L65:L67"/>
    <mergeCell ref="M65:M67"/>
    <mergeCell ref="I56:I64"/>
    <mergeCell ref="I65:I67"/>
    <mergeCell ref="J56:J64"/>
    <mergeCell ref="J65:J67"/>
    <mergeCell ref="P32:P35"/>
    <mergeCell ref="Q32:Q35"/>
    <mergeCell ref="N36:N52"/>
    <mergeCell ref="A36:A52"/>
    <mergeCell ref="K36:K52"/>
    <mergeCell ref="L36:L52"/>
    <mergeCell ref="M36:M52"/>
    <mergeCell ref="O36:O52"/>
    <mergeCell ref="P36:P52"/>
    <mergeCell ref="Q36:Q52"/>
    <mergeCell ref="N32:N35"/>
    <mergeCell ref="K32:K35"/>
    <mergeCell ref="I32:I35"/>
    <mergeCell ref="I36:I52"/>
    <mergeCell ref="P25:P30"/>
    <mergeCell ref="P13:P24"/>
    <mergeCell ref="N25:N30"/>
    <mergeCell ref="A25:A31"/>
    <mergeCell ref="L25:L30"/>
    <mergeCell ref="M25:M30"/>
    <mergeCell ref="N13:N24"/>
    <mergeCell ref="O13:O24"/>
    <mergeCell ref="O54:O55"/>
    <mergeCell ref="P54:P55"/>
    <mergeCell ref="I13:I24"/>
    <mergeCell ref="I25:I30"/>
    <mergeCell ref="J13:J24"/>
    <mergeCell ref="J25:J30"/>
    <mergeCell ref="J32:J35"/>
    <mergeCell ref="L32:L35"/>
    <mergeCell ref="M32:M35"/>
    <mergeCell ref="O32:O35"/>
    <mergeCell ref="A54:A55"/>
    <mergeCell ref="K54:K55"/>
    <mergeCell ref="L54:L55"/>
    <mergeCell ref="M54:M55"/>
    <mergeCell ref="N54:N55"/>
    <mergeCell ref="A32:A35"/>
    <mergeCell ref="G1:G2"/>
    <mergeCell ref="O1:O2"/>
    <mergeCell ref="N1:N2"/>
    <mergeCell ref="K11:K12"/>
    <mergeCell ref="L7:L9"/>
    <mergeCell ref="M11:M12"/>
    <mergeCell ref="L1:L2"/>
    <mergeCell ref="M1:M2"/>
    <mergeCell ref="K25:K30"/>
    <mergeCell ref="O25:O30"/>
    <mergeCell ref="L13:L24"/>
    <mergeCell ref="M13:M24"/>
    <mergeCell ref="K13:K24"/>
    <mergeCell ref="I1:I2"/>
    <mergeCell ref="I3:I6"/>
    <mergeCell ref="I7:I9"/>
    <mergeCell ref="I11:I12"/>
    <mergeCell ref="J1:J2"/>
    <mergeCell ref="J3:J6"/>
    <mergeCell ref="J7:J9"/>
    <mergeCell ref="J11:J12"/>
    <mergeCell ref="P3:P6"/>
    <mergeCell ref="M7:M9"/>
    <mergeCell ref="L11:L12"/>
    <mergeCell ref="P1:P2"/>
    <mergeCell ref="H1:H2"/>
    <mergeCell ref="K1:K2"/>
    <mergeCell ref="P7:P9"/>
    <mergeCell ref="P11:P12"/>
    <mergeCell ref="K3:K6"/>
    <mergeCell ref="K7:K9"/>
    <mergeCell ref="O3:O6"/>
    <mergeCell ref="O7:O9"/>
    <mergeCell ref="N7:N9"/>
    <mergeCell ref="N3:N6"/>
    <mergeCell ref="N11:N12"/>
    <mergeCell ref="O11:O12"/>
    <mergeCell ref="L3:L6"/>
    <mergeCell ref="M3:M6"/>
    <mergeCell ref="A1:A2"/>
    <mergeCell ref="A3:A6"/>
    <mergeCell ref="A7:A9"/>
    <mergeCell ref="F1:F2"/>
    <mergeCell ref="A13:A24"/>
    <mergeCell ref="B1:B2"/>
    <mergeCell ref="C1:C2"/>
    <mergeCell ref="D1:D2"/>
    <mergeCell ref="E1:E2"/>
    <mergeCell ref="A11:A12"/>
    <mergeCell ref="O72:O91"/>
    <mergeCell ref="P72:P91"/>
    <mergeCell ref="Q72:Q91"/>
    <mergeCell ref="R72:R91"/>
    <mergeCell ref="K92:K101"/>
    <mergeCell ref="L92:L101"/>
    <mergeCell ref="M92:M101"/>
    <mergeCell ref="N92:N101"/>
    <mergeCell ref="O92:O101"/>
    <mergeCell ref="P92:P101"/>
    <mergeCell ref="Q92:Q101"/>
    <mergeCell ref="R92:R101"/>
    <mergeCell ref="A72:A91"/>
    <mergeCell ref="A92:A101"/>
    <mergeCell ref="A68:A69"/>
    <mergeCell ref="A70:A71"/>
    <mergeCell ref="K68:K69"/>
    <mergeCell ref="K70:K71"/>
    <mergeCell ref="L68:L69"/>
    <mergeCell ref="M68:M69"/>
    <mergeCell ref="N68:N69"/>
    <mergeCell ref="K72:K91"/>
    <mergeCell ref="L72:L91"/>
    <mergeCell ref="M72:M91"/>
    <mergeCell ref="N72:N91"/>
    <mergeCell ref="I68:I69"/>
    <mergeCell ref="I70:I71"/>
    <mergeCell ref="I72:I91"/>
    <mergeCell ref="I92:I101"/>
    <mergeCell ref="J68:J69"/>
    <mergeCell ref="J72:J91"/>
    <mergeCell ref="J92:J101"/>
    <mergeCell ref="J70:J71"/>
    <mergeCell ref="O68:O69"/>
    <mergeCell ref="P68:P69"/>
    <mergeCell ref="Q68:Q69"/>
    <mergeCell ref="R68:R69"/>
    <mergeCell ref="L70:L71"/>
    <mergeCell ref="M70:M71"/>
    <mergeCell ref="N70:N71"/>
    <mergeCell ref="O70:O71"/>
    <mergeCell ref="P70:P71"/>
    <mergeCell ref="Q70:Q71"/>
    <mergeCell ref="R70:R71"/>
  </mergeCells>
  <printOptions horizontalCentered="1"/>
  <pageMargins left="0.45" right="0" top="0.5" bottom="0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4"/>
  <sheetViews>
    <sheetView workbookViewId="0">
      <selection activeCell="I3" sqref="I3:I14"/>
    </sheetView>
  </sheetViews>
  <sheetFormatPr baseColWidth="10" defaultColWidth="10.83203125" defaultRowHeight="13"/>
  <cols>
    <col min="2" max="2" width="7" customWidth="1"/>
    <col min="3" max="3" width="12.33203125" customWidth="1"/>
    <col min="4" max="4" width="8.5" customWidth="1"/>
    <col min="5" max="6" width="11" bestFit="1" customWidth="1"/>
    <col min="7" max="7" width="22" customWidth="1"/>
    <col min="8" max="8" width="7.1640625" customWidth="1"/>
    <col min="9" max="9" width="9.5" customWidth="1"/>
    <col min="10" max="10" width="11.1640625" bestFit="1" customWidth="1"/>
  </cols>
  <sheetData>
    <row r="2" spans="1:12" s="66" customFormat="1" ht="45" customHeight="1">
      <c r="A2" s="73"/>
      <c r="B2" s="74" t="s">
        <v>163</v>
      </c>
      <c r="C2" s="74" t="s">
        <v>164</v>
      </c>
      <c r="D2" s="74" t="s">
        <v>165</v>
      </c>
      <c r="E2" s="75" t="s">
        <v>166</v>
      </c>
      <c r="F2" s="75" t="s">
        <v>167</v>
      </c>
      <c r="G2" s="75" t="s">
        <v>168</v>
      </c>
      <c r="H2" s="75" t="s">
        <v>169</v>
      </c>
      <c r="I2" s="75" t="s">
        <v>170</v>
      </c>
      <c r="J2" s="75" t="s">
        <v>204</v>
      </c>
      <c r="K2" s="75" t="s">
        <v>171</v>
      </c>
      <c r="L2" s="76"/>
    </row>
    <row r="3" spans="1:12" s="66" customFormat="1" ht="15" customHeight="1">
      <c r="A3" s="73"/>
      <c r="B3" s="77" t="s">
        <v>172</v>
      </c>
      <c r="C3" s="77" t="s">
        <v>173</v>
      </c>
      <c r="D3" s="78" t="s">
        <v>174</v>
      </c>
      <c r="E3" s="79">
        <v>206196</v>
      </c>
      <c r="F3" s="72" t="s">
        <v>175</v>
      </c>
      <c r="G3" s="80" t="s">
        <v>176</v>
      </c>
      <c r="H3" s="79">
        <v>1708</v>
      </c>
      <c r="I3" s="81"/>
      <c r="J3" s="82"/>
      <c r="K3" s="83" t="s">
        <v>177</v>
      </c>
      <c r="L3" s="76"/>
    </row>
    <row r="4" spans="1:12" s="66" customFormat="1" ht="15" customHeight="1">
      <c r="A4" s="73"/>
      <c r="B4" s="77" t="s">
        <v>178</v>
      </c>
      <c r="C4" s="77" t="s">
        <v>179</v>
      </c>
      <c r="D4" s="78" t="s">
        <v>174</v>
      </c>
      <c r="E4" s="79" t="s">
        <v>180</v>
      </c>
      <c r="F4" s="72">
        <v>2020049</v>
      </c>
      <c r="G4" s="79" t="s">
        <v>181</v>
      </c>
      <c r="H4" s="79">
        <v>1343</v>
      </c>
      <c r="I4" s="79"/>
      <c r="J4" s="82"/>
      <c r="K4" s="83" t="s">
        <v>177</v>
      </c>
      <c r="L4" s="76"/>
    </row>
    <row r="5" spans="1:12" s="66" customFormat="1" ht="15" customHeight="1">
      <c r="A5" s="73"/>
      <c r="B5" s="77" t="s">
        <v>178</v>
      </c>
      <c r="C5" s="77" t="s">
        <v>179</v>
      </c>
      <c r="D5" s="78" t="s">
        <v>174</v>
      </c>
      <c r="E5" s="79" t="s">
        <v>182</v>
      </c>
      <c r="F5" s="72">
        <v>2020050</v>
      </c>
      <c r="G5" s="79" t="s">
        <v>183</v>
      </c>
      <c r="H5" s="79">
        <v>69</v>
      </c>
      <c r="I5" s="81"/>
      <c r="J5" s="82"/>
      <c r="K5" s="83" t="s">
        <v>177</v>
      </c>
      <c r="L5" s="76"/>
    </row>
    <row r="6" spans="1:12" s="66" customFormat="1" ht="15" customHeight="1">
      <c r="A6" s="73"/>
      <c r="B6" s="77" t="s">
        <v>178</v>
      </c>
      <c r="C6" s="77" t="s">
        <v>179</v>
      </c>
      <c r="D6" s="78" t="s">
        <v>184</v>
      </c>
      <c r="E6" s="84">
        <v>706</v>
      </c>
      <c r="F6" s="72">
        <v>2020048</v>
      </c>
      <c r="G6" s="79" t="s">
        <v>185</v>
      </c>
      <c r="H6" s="79">
        <v>251</v>
      </c>
      <c r="I6" s="81"/>
      <c r="J6" s="82"/>
      <c r="K6" s="83" t="s">
        <v>177</v>
      </c>
      <c r="L6" s="76"/>
    </row>
    <row r="7" spans="1:12" s="66" customFormat="1" ht="15" customHeight="1">
      <c r="A7" s="73"/>
      <c r="B7" s="77" t="s">
        <v>186</v>
      </c>
      <c r="C7" s="77" t="s">
        <v>187</v>
      </c>
      <c r="D7" s="78" t="s">
        <v>188</v>
      </c>
      <c r="E7" s="84">
        <v>206872</v>
      </c>
      <c r="F7" s="72">
        <v>2020053</v>
      </c>
      <c r="G7" s="79" t="s">
        <v>189</v>
      </c>
      <c r="H7" s="79">
        <v>734</v>
      </c>
      <c r="I7" s="79"/>
      <c r="J7" s="82"/>
      <c r="K7" s="83" t="s">
        <v>177</v>
      </c>
      <c r="L7" s="85" t="s">
        <v>190</v>
      </c>
    </row>
    <row r="8" spans="1:12" s="66" customFormat="1" ht="15" customHeight="1">
      <c r="A8" s="73"/>
      <c r="B8" s="77" t="s">
        <v>191</v>
      </c>
      <c r="C8" s="77" t="s">
        <v>192</v>
      </c>
      <c r="D8" s="78" t="s">
        <v>188</v>
      </c>
      <c r="E8" s="84">
        <v>206872</v>
      </c>
      <c r="F8" s="72">
        <v>2020056</v>
      </c>
      <c r="G8" s="79" t="s">
        <v>193</v>
      </c>
      <c r="H8" s="79">
        <v>820</v>
      </c>
      <c r="I8" s="79"/>
      <c r="J8" s="82"/>
      <c r="K8" s="83" t="s">
        <v>177</v>
      </c>
      <c r="L8" s="262" t="s">
        <v>205</v>
      </c>
    </row>
    <row r="9" spans="1:12" s="66" customFormat="1" ht="15" customHeight="1">
      <c r="A9" s="73"/>
      <c r="B9" s="77" t="s">
        <v>191</v>
      </c>
      <c r="C9" s="77" t="s">
        <v>192</v>
      </c>
      <c r="D9" s="78" t="s">
        <v>188</v>
      </c>
      <c r="E9" s="84">
        <v>739</v>
      </c>
      <c r="F9" s="72">
        <v>2020055</v>
      </c>
      <c r="G9" s="79" t="s">
        <v>194</v>
      </c>
      <c r="H9" s="79">
        <v>77</v>
      </c>
      <c r="I9" s="79"/>
      <c r="J9" s="82"/>
      <c r="K9" s="83" t="s">
        <v>177</v>
      </c>
      <c r="L9" s="262"/>
    </row>
    <row r="10" spans="1:12" s="66" customFormat="1" ht="15" customHeight="1">
      <c r="A10" s="73"/>
      <c r="B10" s="77" t="s">
        <v>195</v>
      </c>
      <c r="C10" s="77" t="s">
        <v>196</v>
      </c>
      <c r="D10" s="78" t="s">
        <v>197</v>
      </c>
      <c r="E10" s="84" t="s">
        <v>198</v>
      </c>
      <c r="F10" s="72">
        <v>2020054</v>
      </c>
      <c r="G10" s="79" t="s">
        <v>199</v>
      </c>
      <c r="H10" s="79">
        <v>928</v>
      </c>
      <c r="I10" s="81"/>
      <c r="J10" s="82"/>
      <c r="K10" s="83" t="s">
        <v>177</v>
      </c>
      <c r="L10" s="76"/>
    </row>
    <row r="11" spans="1:12" s="66" customFormat="1" ht="15" customHeight="1">
      <c r="A11" s="73"/>
      <c r="B11" s="77" t="s">
        <v>200</v>
      </c>
      <c r="C11" s="77" t="s">
        <v>179</v>
      </c>
      <c r="D11" s="78" t="s">
        <v>174</v>
      </c>
      <c r="E11" s="79">
        <v>206875</v>
      </c>
      <c r="F11" s="72" t="s">
        <v>201</v>
      </c>
      <c r="G11" s="79" t="s">
        <v>202</v>
      </c>
      <c r="H11" s="79">
        <v>1622</v>
      </c>
      <c r="I11" s="81"/>
      <c r="J11" s="82"/>
      <c r="K11" s="83" t="s">
        <v>177</v>
      </c>
      <c r="L11" s="76"/>
    </row>
    <row r="12" spans="1:12" s="66" customFormat="1" ht="15" customHeight="1">
      <c r="A12" s="73"/>
      <c r="B12" s="77" t="s">
        <v>200</v>
      </c>
      <c r="C12" s="77" t="s">
        <v>179</v>
      </c>
      <c r="D12" s="78" t="s">
        <v>184</v>
      </c>
      <c r="E12" s="84">
        <v>742</v>
      </c>
      <c r="F12" s="72">
        <v>2020058</v>
      </c>
      <c r="G12" s="79" t="s">
        <v>203</v>
      </c>
      <c r="H12" s="79">
        <v>101</v>
      </c>
      <c r="I12" s="81"/>
      <c r="J12" s="82"/>
      <c r="K12" s="83" t="s">
        <v>177</v>
      </c>
      <c r="L12" s="76"/>
    </row>
    <row r="13" spans="1:12" s="67" customFormat="1" ht="16">
      <c r="A13" s="86"/>
      <c r="B13" s="86"/>
      <c r="C13" s="86"/>
      <c r="D13" s="86"/>
      <c r="E13" s="87"/>
      <c r="F13" s="86"/>
      <c r="G13" s="86"/>
      <c r="H13" s="86"/>
      <c r="I13" s="88"/>
      <c r="J13" s="89"/>
      <c r="K13" s="86"/>
      <c r="L13" s="90"/>
    </row>
    <row r="14" spans="1:12" s="68" customFormat="1" ht="15">
      <c r="E14" s="69"/>
      <c r="F14" s="70"/>
      <c r="L14" s="71"/>
    </row>
  </sheetData>
  <mergeCells count="1">
    <mergeCell ref="L8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ABD RW Open PO's 11-6-2026 </vt:lpstr>
      <vt:lpstr>ABD RW SHIPPED 2026</vt:lpstr>
      <vt:lpstr>Abode 2026</vt:lpstr>
      <vt:lpstr>'ABD RW Open PO''s 11-6-2026 '!Print_Area</vt:lpstr>
      <vt:lpstr>'ABD RW SHIPPED 2026'!Print_Area</vt:lpstr>
      <vt:lpstr>'ABD RW Open PO''s 11-6-2026 '!Print_Titles</vt:lpstr>
      <vt:lpstr>'ABD RW SHIPPED 2026'!Print_Titles</vt:lpstr>
    </vt:vector>
  </TitlesOfParts>
  <Company>ZXY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atm.mostafa</dc:creator>
  <cp:lastModifiedBy>Shakhawat Taluckder Samol</cp:lastModifiedBy>
  <cp:lastPrinted>2024-09-03T05:51:01Z</cp:lastPrinted>
  <dcterms:created xsi:type="dcterms:W3CDTF">2012-08-29T05:04:14Z</dcterms:created>
  <dcterms:modified xsi:type="dcterms:W3CDTF">2026-06-15T06:34:59Z</dcterms:modified>
</cp:coreProperties>
</file>